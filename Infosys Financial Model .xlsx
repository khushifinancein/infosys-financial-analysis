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l kumar\OneDrive\Desktop\"/>
    </mc:Choice>
  </mc:AlternateContent>
  <xr:revisionPtr revIDLastSave="0" documentId="8_{B78CFD2B-3CB4-4E38-9FC3-D4F532F797BC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Historical FS" sheetId="8" r:id="rId7"/>
    <sheet name="Ratio Analysis " sheetId="11" r:id="rId8"/>
    <sheet name="Forecasting" sheetId="12" r:id="rId9"/>
    <sheet name="Cash Flow Data" sheetId="10" r:id="rId10"/>
    <sheet name="Financial&gt;" sheetId="7" r:id="rId11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8" l="1"/>
  <c r="C9" i="8"/>
  <c r="N20" i="12"/>
  <c r="N19" i="12"/>
  <c r="N18" i="12"/>
  <c r="N17" i="12"/>
  <c r="N16" i="12"/>
  <c r="N6" i="12" a="1"/>
  <c r="N6" i="12" s="1"/>
  <c r="N8" i="12"/>
  <c r="N9" i="12"/>
  <c r="N12" i="12"/>
  <c r="N13" i="12"/>
  <c r="L4" i="12"/>
  <c r="G4" i="12"/>
  <c r="L8" i="12"/>
  <c r="L9" i="12" s="1"/>
  <c r="L10" i="12" s="1"/>
  <c r="L11" i="12" s="1"/>
  <c r="L12" i="12" s="1"/>
  <c r="L13" i="12" s="1"/>
  <c r="L14" i="12" s="1"/>
  <c r="L15" i="12" s="1"/>
  <c r="L16" i="12" s="1"/>
  <c r="L7" i="12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G8" i="12"/>
  <c r="G9" i="12" s="1"/>
  <c r="G10" i="12" s="1"/>
  <c r="G11" i="12" s="1"/>
  <c r="G12" i="12" s="1"/>
  <c r="G13" i="12" s="1"/>
  <c r="G14" i="12" s="1"/>
  <c r="G15" i="12" s="1"/>
  <c r="G16" i="12" s="1"/>
  <c r="G7" i="12"/>
  <c r="H6" i="12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B4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7" i="12"/>
  <c r="D17" i="12"/>
  <c r="D18" i="12"/>
  <c r="D19" i="12"/>
  <c r="D20" i="12"/>
  <c r="D16" i="12"/>
  <c r="D6" i="12" a="1"/>
  <c r="D6" i="12" s="1"/>
  <c r="D7" i="12"/>
  <c r="D8" i="12"/>
  <c r="D9" i="12"/>
  <c r="D11" i="12"/>
  <c r="D12" i="12"/>
  <c r="D13" i="12"/>
  <c r="D15" i="12"/>
  <c r="C9" i="12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8" i="12"/>
  <c r="C7" i="12"/>
  <c r="C6" i="12"/>
  <c r="B19" i="12"/>
  <c r="B20" i="12" s="1"/>
  <c r="B17" i="12"/>
  <c r="B18" i="12"/>
  <c r="B10" i="12"/>
  <c r="B11" i="12" s="1"/>
  <c r="B12" i="12" s="1"/>
  <c r="B13" i="12" s="1"/>
  <c r="B14" i="12" s="1"/>
  <c r="B15" i="12" s="1"/>
  <c r="B16" i="12" s="1"/>
  <c r="B7" i="12"/>
  <c r="B9" i="12"/>
  <c r="B8" i="12"/>
  <c r="N15" i="12" l="1"/>
  <c r="N11" i="12"/>
  <c r="O12" i="12" s="1"/>
  <c r="N7" i="12"/>
  <c r="N14" i="12"/>
  <c r="O15" i="12" s="1"/>
  <c r="N10" i="12"/>
  <c r="O7" i="12"/>
  <c r="O16" i="12"/>
  <c r="L17" i="12"/>
  <c r="O8" i="12"/>
  <c r="O9" i="12"/>
  <c r="O13" i="12"/>
  <c r="G17" i="12"/>
  <c r="D14" i="12"/>
  <c r="D10" i="12"/>
  <c r="O10" i="12" l="1"/>
  <c r="O14" i="12"/>
  <c r="L18" i="12"/>
  <c r="O17" i="12"/>
  <c r="O11" i="12"/>
  <c r="G18" i="12"/>
  <c r="O18" i="12" l="1"/>
  <c r="L19" i="12"/>
  <c r="G19" i="12"/>
  <c r="O19" i="12" l="1"/>
  <c r="L20" i="12"/>
  <c r="O20" i="12" s="1"/>
  <c r="G20" i="12"/>
  <c r="N34" i="11" l="1"/>
  <c r="L24" i="11"/>
  <c r="D5" i="11"/>
  <c r="N5" i="11" s="1"/>
  <c r="O41" i="11"/>
  <c r="O39" i="11"/>
  <c r="O37" i="11"/>
  <c r="O36" i="11"/>
  <c r="O35" i="11"/>
  <c r="O34" i="11"/>
  <c r="O32" i="11"/>
  <c r="O31" i="11"/>
  <c r="O30" i="11"/>
  <c r="O29" i="11"/>
  <c r="O28" i="11"/>
  <c r="O19" i="11"/>
  <c r="O18" i="11"/>
  <c r="O9" i="11"/>
  <c r="N41" i="11"/>
  <c r="N39" i="11"/>
  <c r="N37" i="11"/>
  <c r="N36" i="11"/>
  <c r="N35" i="11"/>
  <c r="N32" i="11"/>
  <c r="N31" i="11"/>
  <c r="N30" i="11"/>
  <c r="N29" i="11"/>
  <c r="N28" i="11"/>
  <c r="N19" i="11"/>
  <c r="N18" i="11"/>
  <c r="N9" i="11"/>
  <c r="L41" i="11"/>
  <c r="K41" i="11"/>
  <c r="J41" i="11"/>
  <c r="I41" i="11"/>
  <c r="H41" i="11"/>
  <c r="G41" i="11"/>
  <c r="F41" i="11"/>
  <c r="E41" i="11"/>
  <c r="D41" i="11"/>
  <c r="K40" i="11"/>
  <c r="J40" i="11"/>
  <c r="I40" i="11"/>
  <c r="H40" i="11"/>
  <c r="G40" i="11"/>
  <c r="F40" i="11"/>
  <c r="E40" i="11"/>
  <c r="D40" i="11"/>
  <c r="L39" i="11"/>
  <c r="K39" i="11"/>
  <c r="J39" i="11"/>
  <c r="I39" i="11"/>
  <c r="H39" i="11"/>
  <c r="G39" i="11"/>
  <c r="F39" i="11"/>
  <c r="E39" i="11"/>
  <c r="D39" i="11"/>
  <c r="C41" i="11"/>
  <c r="C40" i="11"/>
  <c r="C39" i="11"/>
  <c r="I36" i="11"/>
  <c r="E36" i="11"/>
  <c r="J35" i="11"/>
  <c r="F35" i="11"/>
  <c r="C36" i="11"/>
  <c r="K34" i="11"/>
  <c r="J34" i="11"/>
  <c r="G34" i="11"/>
  <c r="F34" i="11"/>
  <c r="C34" i="11"/>
  <c r="L32" i="11"/>
  <c r="K32" i="11"/>
  <c r="J32" i="11"/>
  <c r="I32" i="11"/>
  <c r="H32" i="11"/>
  <c r="G32" i="11"/>
  <c r="F32" i="11"/>
  <c r="E32" i="11"/>
  <c r="D32" i="11"/>
  <c r="L31" i="11"/>
  <c r="K31" i="11"/>
  <c r="J31" i="11"/>
  <c r="I31" i="11"/>
  <c r="H31" i="11"/>
  <c r="G31" i="11"/>
  <c r="F31" i="11"/>
  <c r="E31" i="11"/>
  <c r="D31" i="11"/>
  <c r="L30" i="11"/>
  <c r="L36" i="11" s="1"/>
  <c r="K30" i="11"/>
  <c r="K36" i="11" s="1"/>
  <c r="J30" i="11"/>
  <c r="J36" i="11" s="1"/>
  <c r="I30" i="11"/>
  <c r="H30" i="11"/>
  <c r="H36" i="11" s="1"/>
  <c r="G30" i="11"/>
  <c r="G36" i="11" s="1"/>
  <c r="F30" i="11"/>
  <c r="F36" i="11" s="1"/>
  <c r="E30" i="11"/>
  <c r="D30" i="11"/>
  <c r="D36" i="11" s="1"/>
  <c r="L29" i="11"/>
  <c r="L35" i="11" s="1"/>
  <c r="K29" i="11"/>
  <c r="K35" i="11" s="1"/>
  <c r="K37" i="11" s="1"/>
  <c r="J29" i="11"/>
  <c r="I29" i="11"/>
  <c r="I35" i="11" s="1"/>
  <c r="H29" i="11"/>
  <c r="H35" i="11" s="1"/>
  <c r="G29" i="11"/>
  <c r="G35" i="11" s="1"/>
  <c r="F29" i="11"/>
  <c r="E29" i="11"/>
  <c r="E35" i="11" s="1"/>
  <c r="D29" i="11"/>
  <c r="D35" i="11" s="1"/>
  <c r="L28" i="11"/>
  <c r="L34" i="11" s="1"/>
  <c r="K28" i="11"/>
  <c r="J28" i="11"/>
  <c r="I28" i="11"/>
  <c r="I34" i="11" s="1"/>
  <c r="H28" i="11"/>
  <c r="H34" i="11" s="1"/>
  <c r="G28" i="11"/>
  <c r="F28" i="11"/>
  <c r="E28" i="11"/>
  <c r="E34" i="11" s="1"/>
  <c r="D28" i="11"/>
  <c r="D34" i="11" s="1"/>
  <c r="C32" i="11"/>
  <c r="C31" i="11"/>
  <c r="C30" i="11"/>
  <c r="C29" i="11"/>
  <c r="C35" i="11" s="1"/>
  <c r="C28" i="11"/>
  <c r="L26" i="11"/>
  <c r="K26" i="11"/>
  <c r="J26" i="11"/>
  <c r="I26" i="11"/>
  <c r="H26" i="11"/>
  <c r="G26" i="11"/>
  <c r="F26" i="11"/>
  <c r="E26" i="11"/>
  <c r="D26" i="11"/>
  <c r="K24" i="11"/>
  <c r="J24" i="11"/>
  <c r="I24" i="11"/>
  <c r="H24" i="11"/>
  <c r="G24" i="11"/>
  <c r="F24" i="11"/>
  <c r="E24" i="11"/>
  <c r="D24" i="11"/>
  <c r="L23" i="11"/>
  <c r="K23" i="11"/>
  <c r="K25" i="11" s="1"/>
  <c r="J23" i="11"/>
  <c r="J25" i="11" s="1"/>
  <c r="I23" i="11"/>
  <c r="I25" i="11" s="1"/>
  <c r="H23" i="11"/>
  <c r="H25" i="11" s="1"/>
  <c r="G23" i="11"/>
  <c r="G25" i="11" s="1"/>
  <c r="F23" i="11"/>
  <c r="F25" i="11" s="1"/>
  <c r="E23" i="11"/>
  <c r="E25" i="11" s="1"/>
  <c r="D23" i="11"/>
  <c r="D25" i="11" s="1"/>
  <c r="L22" i="11"/>
  <c r="K22" i="11"/>
  <c r="J22" i="11"/>
  <c r="I22" i="11"/>
  <c r="H22" i="11"/>
  <c r="G22" i="11"/>
  <c r="F22" i="11"/>
  <c r="E22" i="11"/>
  <c r="D22" i="11"/>
  <c r="L20" i="11"/>
  <c r="K20" i="11"/>
  <c r="J20" i="11"/>
  <c r="I20" i="11"/>
  <c r="H20" i="11"/>
  <c r="G20" i="11"/>
  <c r="F20" i="11"/>
  <c r="E20" i="11"/>
  <c r="D20" i="11"/>
  <c r="L19" i="11"/>
  <c r="K19" i="11"/>
  <c r="J19" i="11"/>
  <c r="I19" i="11"/>
  <c r="H19" i="11"/>
  <c r="G19" i="11"/>
  <c r="F19" i="11"/>
  <c r="E19" i="11"/>
  <c r="D19" i="11"/>
  <c r="L18" i="11"/>
  <c r="K18" i="11"/>
  <c r="J18" i="11"/>
  <c r="I18" i="11"/>
  <c r="H18" i="11"/>
  <c r="G18" i="11"/>
  <c r="F18" i="11"/>
  <c r="E18" i="11"/>
  <c r="D18" i="11"/>
  <c r="C19" i="11"/>
  <c r="C18" i="11"/>
  <c r="M41" i="8"/>
  <c r="L15" i="11"/>
  <c r="K15" i="11"/>
  <c r="J15" i="11"/>
  <c r="I15" i="11"/>
  <c r="H15" i="11"/>
  <c r="G15" i="11"/>
  <c r="F15" i="11"/>
  <c r="E15" i="11"/>
  <c r="D15" i="11"/>
  <c r="L14" i="11"/>
  <c r="K14" i="11"/>
  <c r="J14" i="11"/>
  <c r="I14" i="11"/>
  <c r="H14" i="11"/>
  <c r="G14" i="11"/>
  <c r="F14" i="11"/>
  <c r="E14" i="11"/>
  <c r="D14" i="11"/>
  <c r="L13" i="11"/>
  <c r="K13" i="11"/>
  <c r="J13" i="11"/>
  <c r="I13" i="11"/>
  <c r="H13" i="11"/>
  <c r="G13" i="11"/>
  <c r="F13" i="11"/>
  <c r="E13" i="11"/>
  <c r="D13" i="11"/>
  <c r="L12" i="11"/>
  <c r="K12" i="11"/>
  <c r="J12" i="11"/>
  <c r="I12" i="11"/>
  <c r="H12" i="11"/>
  <c r="G12" i="11"/>
  <c r="F12" i="11"/>
  <c r="E12" i="11"/>
  <c r="D12" i="11"/>
  <c r="L11" i="11"/>
  <c r="K11" i="11"/>
  <c r="J11" i="11"/>
  <c r="I11" i="11"/>
  <c r="H11" i="11"/>
  <c r="G11" i="11"/>
  <c r="F11" i="11"/>
  <c r="E11" i="11"/>
  <c r="D11" i="11"/>
  <c r="M36" i="8"/>
  <c r="L36" i="8"/>
  <c r="K36" i="8"/>
  <c r="J36" i="8"/>
  <c r="I36" i="8"/>
  <c r="H36" i="8"/>
  <c r="G36" i="8"/>
  <c r="F36" i="8"/>
  <c r="E36" i="8"/>
  <c r="D36" i="8"/>
  <c r="M33" i="8"/>
  <c r="L33" i="8"/>
  <c r="K33" i="8"/>
  <c r="J33" i="8"/>
  <c r="I33" i="8"/>
  <c r="H33" i="8"/>
  <c r="G33" i="8"/>
  <c r="F33" i="8"/>
  <c r="E33" i="8"/>
  <c r="D33" i="8"/>
  <c r="M30" i="8"/>
  <c r="L30" i="8"/>
  <c r="K30" i="8"/>
  <c r="J30" i="8"/>
  <c r="I30" i="8"/>
  <c r="H30" i="8"/>
  <c r="G30" i="8"/>
  <c r="F30" i="8"/>
  <c r="E30" i="8"/>
  <c r="D30" i="8"/>
  <c r="M25" i="8"/>
  <c r="L25" i="8"/>
  <c r="K25" i="8"/>
  <c r="J25" i="8"/>
  <c r="I25" i="8"/>
  <c r="H25" i="8"/>
  <c r="G25" i="8"/>
  <c r="F25" i="8"/>
  <c r="E25" i="8"/>
  <c r="D25" i="8"/>
  <c r="C25" i="8"/>
  <c r="M22" i="8"/>
  <c r="L22" i="8"/>
  <c r="K22" i="8"/>
  <c r="J22" i="8"/>
  <c r="I22" i="8"/>
  <c r="H22" i="8"/>
  <c r="G22" i="8"/>
  <c r="F22" i="8"/>
  <c r="E22" i="8"/>
  <c r="D22" i="8"/>
  <c r="C22" i="8"/>
  <c r="M19" i="8"/>
  <c r="L19" i="8"/>
  <c r="K19" i="8"/>
  <c r="J19" i="8"/>
  <c r="I19" i="8"/>
  <c r="H19" i="8"/>
  <c r="G19" i="8"/>
  <c r="F19" i="8"/>
  <c r="E19" i="8"/>
  <c r="D19" i="8"/>
  <c r="M16" i="8"/>
  <c r="L16" i="8"/>
  <c r="K16" i="8"/>
  <c r="J16" i="8"/>
  <c r="I16" i="8"/>
  <c r="H16" i="8"/>
  <c r="G16" i="8"/>
  <c r="F16" i="8"/>
  <c r="E16" i="8"/>
  <c r="D16" i="8"/>
  <c r="C16" i="8"/>
  <c r="M13" i="8"/>
  <c r="L13" i="8"/>
  <c r="K13" i="8"/>
  <c r="J13" i="8"/>
  <c r="I13" i="8"/>
  <c r="H13" i="8"/>
  <c r="G13" i="8"/>
  <c r="F13" i="8"/>
  <c r="E13" i="8"/>
  <c r="D13" i="8"/>
  <c r="M10" i="8"/>
  <c r="L10" i="8"/>
  <c r="K10" i="8"/>
  <c r="J10" i="8"/>
  <c r="I10" i="8"/>
  <c r="H10" i="8"/>
  <c r="G10" i="8"/>
  <c r="F10" i="8"/>
  <c r="E10" i="8"/>
  <c r="D10" i="8"/>
  <c r="C10" i="8"/>
  <c r="M7" i="8"/>
  <c r="L7" i="8"/>
  <c r="K7" i="8"/>
  <c r="J7" i="8"/>
  <c r="I7" i="8"/>
  <c r="H7" i="8"/>
  <c r="G7" i="8"/>
  <c r="F7" i="8"/>
  <c r="E7" i="8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L5" i="11"/>
  <c r="K5" i="11"/>
  <c r="J5" i="11"/>
  <c r="I5" i="11"/>
  <c r="H5" i="11"/>
  <c r="G5" i="11"/>
  <c r="F5" i="11"/>
  <c r="E5" i="11"/>
  <c r="D9" i="11"/>
  <c r="B2" i="11"/>
  <c r="L3" i="11"/>
  <c r="K3" i="11"/>
  <c r="J3" i="11"/>
  <c r="I3" i="11"/>
  <c r="H3" i="11"/>
  <c r="G3" i="11"/>
  <c r="F3" i="11"/>
  <c r="E3" i="11"/>
  <c r="D3" i="11"/>
  <c r="C3" i="11"/>
  <c r="L76" i="10"/>
  <c r="K76" i="10"/>
  <c r="J76" i="10"/>
  <c r="I76" i="10"/>
  <c r="H76" i="10"/>
  <c r="G76" i="10"/>
  <c r="F76" i="10"/>
  <c r="E76" i="10"/>
  <c r="D76" i="10"/>
  <c r="L76" i="8"/>
  <c r="K76" i="8"/>
  <c r="J76" i="8"/>
  <c r="I76" i="8"/>
  <c r="H76" i="8"/>
  <c r="G76" i="8"/>
  <c r="F76" i="8"/>
  <c r="E76" i="8"/>
  <c r="D76" i="8"/>
  <c r="C76" i="10"/>
  <c r="C76" i="8"/>
  <c r="L74" i="10"/>
  <c r="K74" i="10"/>
  <c r="J74" i="10"/>
  <c r="I74" i="10"/>
  <c r="H74" i="10"/>
  <c r="G74" i="10"/>
  <c r="F74" i="10"/>
  <c r="E74" i="10"/>
  <c r="D74" i="10"/>
  <c r="L74" i="8"/>
  <c r="K74" i="8"/>
  <c r="J74" i="8"/>
  <c r="I74" i="8"/>
  <c r="H74" i="8"/>
  <c r="G74" i="8"/>
  <c r="F74" i="8"/>
  <c r="E74" i="8"/>
  <c r="D74" i="8"/>
  <c r="C74" i="10"/>
  <c r="C74" i="8"/>
  <c r="L72" i="10"/>
  <c r="K72" i="10"/>
  <c r="J72" i="10"/>
  <c r="I72" i="10"/>
  <c r="H72" i="10"/>
  <c r="G72" i="10"/>
  <c r="F72" i="10"/>
  <c r="E72" i="10"/>
  <c r="D72" i="10"/>
  <c r="L72" i="8"/>
  <c r="K72" i="8"/>
  <c r="J72" i="8"/>
  <c r="I72" i="8"/>
  <c r="H72" i="8"/>
  <c r="G72" i="8"/>
  <c r="F72" i="8"/>
  <c r="E72" i="8"/>
  <c r="D72" i="8"/>
  <c r="C72" i="10"/>
  <c r="C72" i="8"/>
  <c r="M27" i="8"/>
  <c r="L27" i="8"/>
  <c r="K27" i="8"/>
  <c r="J27" i="8"/>
  <c r="I27" i="8"/>
  <c r="H27" i="8"/>
  <c r="G27" i="8"/>
  <c r="F27" i="8"/>
  <c r="E27" i="8"/>
  <c r="D27" i="8"/>
  <c r="C27" i="8"/>
  <c r="P6" i="10"/>
  <c r="C6" i="8"/>
  <c r="D6" i="8"/>
  <c r="E6" i="8"/>
  <c r="F6" i="8"/>
  <c r="G6" i="8"/>
  <c r="H6" i="8"/>
  <c r="I6" i="8"/>
  <c r="J6" i="8"/>
  <c r="K6" i="8"/>
  <c r="L6" i="8"/>
  <c r="M6" i="8"/>
  <c r="D9" i="8"/>
  <c r="E9" i="8"/>
  <c r="F9" i="8"/>
  <c r="F12" i="8" s="1"/>
  <c r="G9" i="8"/>
  <c r="H9" i="8"/>
  <c r="I9" i="8"/>
  <c r="J9" i="8"/>
  <c r="J12" i="8" s="1"/>
  <c r="K9" i="8"/>
  <c r="L9" i="8"/>
  <c r="M9" i="8"/>
  <c r="C15" i="8"/>
  <c r="D15" i="8"/>
  <c r="E15" i="8"/>
  <c r="F15" i="8"/>
  <c r="G15" i="8"/>
  <c r="H15" i="8"/>
  <c r="I15" i="8"/>
  <c r="J15" i="8"/>
  <c r="K15" i="8"/>
  <c r="L15" i="8"/>
  <c r="M15" i="8"/>
  <c r="C21" i="8"/>
  <c r="D21" i="8"/>
  <c r="E21" i="8"/>
  <c r="F21" i="8"/>
  <c r="G21" i="8"/>
  <c r="H21" i="8"/>
  <c r="I21" i="8"/>
  <c r="J21" i="8"/>
  <c r="K21" i="8"/>
  <c r="L21" i="8"/>
  <c r="M21" i="8"/>
  <c r="C24" i="8"/>
  <c r="D24" i="8"/>
  <c r="E24" i="8"/>
  <c r="F24" i="8"/>
  <c r="G24" i="8"/>
  <c r="H24" i="8"/>
  <c r="I24" i="8"/>
  <c r="J24" i="8"/>
  <c r="K24" i="8"/>
  <c r="L24" i="8"/>
  <c r="M24" i="8"/>
  <c r="C32" i="8"/>
  <c r="D32" i="8"/>
  <c r="E32" i="8"/>
  <c r="F32" i="8"/>
  <c r="G32" i="8"/>
  <c r="H32" i="8"/>
  <c r="I32" i="8"/>
  <c r="J32" i="8"/>
  <c r="K32" i="8"/>
  <c r="L32" i="8"/>
  <c r="M32" i="8"/>
  <c r="C38" i="8"/>
  <c r="C43" i="8" s="1"/>
  <c r="D38" i="8"/>
  <c r="D43" i="8" s="1"/>
  <c r="E38" i="8"/>
  <c r="E43" i="8" s="1"/>
  <c r="F38" i="8"/>
  <c r="G38" i="8"/>
  <c r="G43" i="8" s="1"/>
  <c r="H38" i="8"/>
  <c r="H43" i="8" s="1"/>
  <c r="I38" i="8"/>
  <c r="I43" i="8" s="1"/>
  <c r="J38" i="8"/>
  <c r="J43" i="8" s="1"/>
  <c r="K38" i="8"/>
  <c r="K43" i="8" s="1"/>
  <c r="L38" i="8"/>
  <c r="L43" i="8" s="1"/>
  <c r="M38" i="8"/>
  <c r="M43" i="8" s="1"/>
  <c r="F43" i="8"/>
  <c r="C49" i="8"/>
  <c r="D49" i="8"/>
  <c r="E49" i="8"/>
  <c r="F49" i="8"/>
  <c r="G49" i="8"/>
  <c r="H49" i="8"/>
  <c r="I49" i="8"/>
  <c r="J49" i="8"/>
  <c r="K49" i="8"/>
  <c r="L49" i="8"/>
  <c r="C50" i="8"/>
  <c r="D50" i="8"/>
  <c r="E50" i="8"/>
  <c r="F50" i="8"/>
  <c r="G50" i="8"/>
  <c r="H50" i="8"/>
  <c r="I50" i="8"/>
  <c r="J50" i="8"/>
  <c r="K50" i="8"/>
  <c r="L50" i="8"/>
  <c r="C51" i="8"/>
  <c r="D51" i="8"/>
  <c r="E51" i="8"/>
  <c r="F51" i="8"/>
  <c r="G51" i="8"/>
  <c r="H51" i="8"/>
  <c r="I51" i="8"/>
  <c r="J51" i="8"/>
  <c r="K51" i="8"/>
  <c r="L51" i="8"/>
  <c r="C52" i="8"/>
  <c r="D52" i="8"/>
  <c r="E52" i="8"/>
  <c r="F52" i="8"/>
  <c r="G52" i="8"/>
  <c r="H52" i="8"/>
  <c r="I52" i="8"/>
  <c r="J52" i="8"/>
  <c r="K52" i="8"/>
  <c r="L52" i="8"/>
  <c r="C53" i="8"/>
  <c r="D53" i="8"/>
  <c r="E53" i="8"/>
  <c r="F53" i="8"/>
  <c r="G53" i="8"/>
  <c r="H53" i="8"/>
  <c r="I53" i="8"/>
  <c r="J53" i="8"/>
  <c r="K53" i="8"/>
  <c r="L53" i="8"/>
  <c r="C55" i="8"/>
  <c r="D55" i="8"/>
  <c r="E55" i="8"/>
  <c r="F55" i="8"/>
  <c r="G55" i="8"/>
  <c r="H55" i="8"/>
  <c r="I55" i="8"/>
  <c r="J55" i="8"/>
  <c r="K55" i="8"/>
  <c r="L55" i="8"/>
  <c r="C56" i="8"/>
  <c r="D56" i="8"/>
  <c r="E56" i="8"/>
  <c r="F56" i="8"/>
  <c r="G56" i="8"/>
  <c r="H56" i="8"/>
  <c r="I56" i="8"/>
  <c r="J56" i="8"/>
  <c r="K56" i="8"/>
  <c r="L56" i="8"/>
  <c r="C57" i="8"/>
  <c r="D57" i="8"/>
  <c r="E57" i="8"/>
  <c r="F57" i="8"/>
  <c r="G57" i="8"/>
  <c r="H57" i="8"/>
  <c r="I57" i="8"/>
  <c r="J57" i="8"/>
  <c r="K57" i="8"/>
  <c r="L57" i="8"/>
  <c r="C58" i="8"/>
  <c r="D58" i="8"/>
  <c r="E58" i="8"/>
  <c r="F58" i="8"/>
  <c r="G58" i="8"/>
  <c r="H58" i="8"/>
  <c r="I58" i="8"/>
  <c r="J58" i="8"/>
  <c r="K58" i="8"/>
  <c r="L58" i="8"/>
  <c r="C61" i="8"/>
  <c r="D61" i="8"/>
  <c r="E61" i="8"/>
  <c r="F61" i="8"/>
  <c r="G61" i="8"/>
  <c r="H61" i="8"/>
  <c r="I61" i="8"/>
  <c r="J61" i="8"/>
  <c r="K61" i="8"/>
  <c r="L61" i="8"/>
  <c r="C62" i="8"/>
  <c r="D62" i="8"/>
  <c r="E62" i="8"/>
  <c r="F62" i="8"/>
  <c r="G62" i="8"/>
  <c r="H62" i="8"/>
  <c r="I62" i="8"/>
  <c r="I64" i="8" s="1"/>
  <c r="J62" i="8"/>
  <c r="K62" i="8"/>
  <c r="L62" i="8"/>
  <c r="C63" i="8"/>
  <c r="D63" i="8"/>
  <c r="E63" i="8"/>
  <c r="F63" i="8"/>
  <c r="G63" i="8"/>
  <c r="H63" i="8"/>
  <c r="I63" i="8"/>
  <c r="J63" i="8"/>
  <c r="K63" i="8"/>
  <c r="L63" i="8"/>
  <c r="H3" i="1"/>
  <c r="L3" i="8"/>
  <c r="K3" i="8"/>
  <c r="J3" i="8"/>
  <c r="I3" i="8"/>
  <c r="H3" i="8"/>
  <c r="G3" i="8"/>
  <c r="F3" i="8"/>
  <c r="E3" i="8"/>
  <c r="D3" i="8"/>
  <c r="C3" i="8"/>
  <c r="B2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E23" i="2" s="1"/>
  <c r="F12" i="1"/>
  <c r="F13" i="1" s="1"/>
  <c r="F14" i="1" s="1"/>
  <c r="G12" i="1"/>
  <c r="G23" i="2" s="1"/>
  <c r="H12" i="1"/>
  <c r="I12" i="1"/>
  <c r="I23" i="2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A1" i="3" s="1"/>
  <c r="E1" i="6"/>
  <c r="H1" i="1" s="1"/>
  <c r="E1" i="2"/>
  <c r="E1" i="3"/>
  <c r="H16" i="2"/>
  <c r="D16" i="2"/>
  <c r="F23" i="2"/>
  <c r="C23" i="2"/>
  <c r="K16" i="2"/>
  <c r="C16" i="2"/>
  <c r="F16" i="2"/>
  <c r="E6" i="1"/>
  <c r="E19" i="1" s="1"/>
  <c r="H23" i="2"/>
  <c r="D23" i="2"/>
  <c r="I6" i="1"/>
  <c r="I19" i="1" s="1"/>
  <c r="J6" i="1"/>
  <c r="J19" i="1"/>
  <c r="K6" i="1"/>
  <c r="K19" i="1"/>
  <c r="G6" i="1"/>
  <c r="G19" i="1" s="1"/>
  <c r="C6" i="1"/>
  <c r="C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2"/>
  <c r="A1" i="4" s="1"/>
  <c r="H23" i="1"/>
  <c r="I23" i="1"/>
  <c r="J23" i="1"/>
  <c r="L5" i="1"/>
  <c r="L25" i="11" l="1"/>
  <c r="O5" i="11"/>
  <c r="D37" i="11"/>
  <c r="H37" i="11"/>
  <c r="L37" i="11"/>
  <c r="G37" i="11"/>
  <c r="C37" i="11"/>
  <c r="E37" i="11"/>
  <c r="I37" i="11"/>
  <c r="F37" i="11"/>
  <c r="J37" i="11"/>
  <c r="H12" i="8"/>
  <c r="D78" i="8"/>
  <c r="H78" i="8"/>
  <c r="L12" i="8"/>
  <c r="F78" i="8"/>
  <c r="D12" i="8"/>
  <c r="L78" i="8"/>
  <c r="E59" i="8"/>
  <c r="C78" i="8"/>
  <c r="M12" i="8"/>
  <c r="I12" i="8"/>
  <c r="F59" i="8"/>
  <c r="J64" i="8"/>
  <c r="F64" i="8"/>
  <c r="H18" i="8"/>
  <c r="G64" i="8"/>
  <c r="E64" i="8"/>
  <c r="K64" i="8"/>
  <c r="C64" i="8"/>
  <c r="J59" i="8"/>
  <c r="I59" i="8"/>
  <c r="I66" i="8" s="1"/>
  <c r="I68" i="8" s="1"/>
  <c r="E12" i="8"/>
  <c r="D64" i="8"/>
  <c r="L59" i="8"/>
  <c r="H59" i="8"/>
  <c r="D59" i="8"/>
  <c r="K59" i="8"/>
  <c r="G59" i="8"/>
  <c r="C59" i="8"/>
  <c r="L64" i="8"/>
  <c r="H64" i="8"/>
  <c r="J18" i="8"/>
  <c r="J29" i="8" s="1"/>
  <c r="F18" i="8"/>
  <c r="F29" i="8" s="1"/>
  <c r="K12" i="8"/>
  <c r="G12" i="8"/>
  <c r="C12" i="8"/>
  <c r="M11" i="1"/>
  <c r="L19" i="1"/>
  <c r="L24" i="1" s="1"/>
  <c r="M24" i="1" s="1"/>
  <c r="B16" i="2"/>
  <c r="B23" i="2"/>
  <c r="I13" i="1"/>
  <c r="H14" i="1"/>
  <c r="J16" i="2"/>
  <c r="G16" i="2"/>
  <c r="G24" i="2"/>
  <c r="E24" i="2"/>
  <c r="G13" i="1"/>
  <c r="G14" i="1" s="1"/>
  <c r="D13" i="1"/>
  <c r="E13" i="1" s="1"/>
  <c r="E14" i="1" s="1"/>
  <c r="K24" i="1"/>
  <c r="J23" i="2"/>
  <c r="J24" i="2"/>
  <c r="D24" i="2"/>
  <c r="B14" i="1"/>
  <c r="D14" i="1"/>
  <c r="I16" i="2"/>
  <c r="K24" i="2"/>
  <c r="I24" i="2"/>
  <c r="K23" i="2"/>
  <c r="I14" i="1"/>
  <c r="K25" i="1" s="1"/>
  <c r="M25" i="1" s="1"/>
  <c r="M14" i="1" s="1"/>
  <c r="C24" i="2"/>
  <c r="H24" i="2"/>
  <c r="F24" i="2"/>
  <c r="J25" i="1"/>
  <c r="M9" i="1"/>
  <c r="N9" i="1"/>
  <c r="N8" i="1"/>
  <c r="M8" i="1"/>
  <c r="I20" i="2"/>
  <c r="J24" i="1"/>
  <c r="H20" i="2"/>
  <c r="K23" i="1"/>
  <c r="M23" i="1" s="1"/>
  <c r="M4" i="1" s="1"/>
  <c r="H6" i="1"/>
  <c r="H19" i="1" s="1"/>
  <c r="F6" i="1"/>
  <c r="F19" i="1" s="1"/>
  <c r="H24" i="1" s="1"/>
  <c r="E1" i="4"/>
  <c r="C13" i="8" l="1"/>
  <c r="C11" i="11" s="1"/>
  <c r="C18" i="8"/>
  <c r="G78" i="8"/>
  <c r="E78" i="8"/>
  <c r="M18" i="8"/>
  <c r="M29" i="8" s="1"/>
  <c r="M35" i="8" s="1"/>
  <c r="K78" i="8"/>
  <c r="L18" i="8"/>
  <c r="I18" i="8"/>
  <c r="E66" i="8"/>
  <c r="E68" i="8" s="1"/>
  <c r="H29" i="8"/>
  <c r="I78" i="8"/>
  <c r="J78" i="8"/>
  <c r="L29" i="8"/>
  <c r="F66" i="8"/>
  <c r="F68" i="8" s="1"/>
  <c r="D18" i="8"/>
  <c r="D29" i="8" s="1"/>
  <c r="D35" i="8" s="1"/>
  <c r="K66" i="8"/>
  <c r="K68" i="8" s="1"/>
  <c r="J66" i="8"/>
  <c r="J68" i="8" s="1"/>
  <c r="L66" i="8"/>
  <c r="C66" i="8"/>
  <c r="C68" i="8" s="1"/>
  <c r="G66" i="8"/>
  <c r="G68" i="8" s="1"/>
  <c r="E18" i="8"/>
  <c r="E29" i="8" s="1"/>
  <c r="E35" i="8" s="1"/>
  <c r="H66" i="8"/>
  <c r="H68" i="8" s="1"/>
  <c r="D66" i="8"/>
  <c r="D68" i="8" s="1"/>
  <c r="C29" i="8"/>
  <c r="G18" i="8"/>
  <c r="G29" i="8" s="1"/>
  <c r="K18" i="8"/>
  <c r="K29" i="8" s="1"/>
  <c r="H25" i="1"/>
  <c r="I25" i="1"/>
  <c r="N23" i="1"/>
  <c r="N4" i="1" s="1"/>
  <c r="N6" i="1" s="1"/>
  <c r="N24" i="1"/>
  <c r="I24" i="1"/>
  <c r="M6" i="1"/>
  <c r="M10" i="1" s="1"/>
  <c r="M12" i="1" s="1"/>
  <c r="M13" i="1" s="1"/>
  <c r="M15" i="1" s="1"/>
  <c r="C30" i="8" l="1"/>
  <c r="C14" i="11" s="1"/>
  <c r="C33" i="8"/>
  <c r="D7" i="11"/>
  <c r="I6" i="12" a="1"/>
  <c r="C19" i="8"/>
  <c r="C12" i="11" s="1"/>
  <c r="D6" i="11"/>
  <c r="C22" i="11"/>
  <c r="C20" i="11"/>
  <c r="C26" i="11"/>
  <c r="C13" i="11"/>
  <c r="N11" i="11"/>
  <c r="O11" i="11"/>
  <c r="L68" i="8"/>
  <c r="L40" i="11"/>
  <c r="I29" i="8"/>
  <c r="C35" i="8"/>
  <c r="L35" i="8"/>
  <c r="H35" i="8"/>
  <c r="H40" i="8" s="1"/>
  <c r="H44" i="8" s="1"/>
  <c r="H46" i="8" s="1"/>
  <c r="I35" i="8"/>
  <c r="F35" i="8"/>
  <c r="M40" i="8"/>
  <c r="J35" i="8"/>
  <c r="N10" i="1"/>
  <c r="N12" i="1" s="1"/>
  <c r="N13" i="1" s="1"/>
  <c r="N5" i="1"/>
  <c r="N25" i="1"/>
  <c r="N14" i="1" s="1"/>
  <c r="N15" i="1" s="1"/>
  <c r="M5" i="1"/>
  <c r="N20" i="11" l="1"/>
  <c r="O20" i="11"/>
  <c r="C36" i="8"/>
  <c r="C15" i="11" s="1"/>
  <c r="C24" i="11"/>
  <c r="D8" i="11"/>
  <c r="I6" i="12"/>
  <c r="I9" i="12"/>
  <c r="I11" i="12"/>
  <c r="J11" i="12" s="1"/>
  <c r="I12" i="12"/>
  <c r="I7" i="12"/>
  <c r="J7" i="12" s="1"/>
  <c r="I8" i="12"/>
  <c r="I14" i="12"/>
  <c r="J14" i="12" s="1"/>
  <c r="I13" i="12"/>
  <c r="J13" i="12" s="1"/>
  <c r="I15" i="12"/>
  <c r="I10" i="12"/>
  <c r="J10" i="12" s="1"/>
  <c r="N22" i="11"/>
  <c r="O22" i="11"/>
  <c r="O7" i="11"/>
  <c r="N7" i="11"/>
  <c r="O13" i="11"/>
  <c r="N13" i="11"/>
  <c r="N6" i="11"/>
  <c r="O6" i="11"/>
  <c r="O26" i="11"/>
  <c r="N26" i="11"/>
  <c r="O12" i="11"/>
  <c r="N12" i="11"/>
  <c r="N14" i="11"/>
  <c r="O14" i="11"/>
  <c r="O40" i="11"/>
  <c r="N40" i="11"/>
  <c r="L40" i="8"/>
  <c r="L44" i="8" s="1"/>
  <c r="L46" i="8" s="1"/>
  <c r="I40" i="8"/>
  <c r="I41" i="8" s="1"/>
  <c r="K35" i="8"/>
  <c r="J40" i="8"/>
  <c r="G35" i="8"/>
  <c r="M46" i="8"/>
  <c r="M44" i="8"/>
  <c r="F40" i="8"/>
  <c r="J8" i="12" l="1"/>
  <c r="J15" i="12"/>
  <c r="I17" i="12"/>
  <c r="I16" i="12"/>
  <c r="J16" i="12" s="1"/>
  <c r="I18" i="12"/>
  <c r="J18" i="12" s="1"/>
  <c r="I20" i="12"/>
  <c r="I19" i="12"/>
  <c r="N24" i="11"/>
  <c r="O24" i="11"/>
  <c r="J9" i="12"/>
  <c r="O15" i="11"/>
  <c r="N15" i="11"/>
  <c r="J12" i="12"/>
  <c r="N8" i="11"/>
  <c r="O8" i="11"/>
  <c r="D40" i="8"/>
  <c r="D44" i="8" s="1"/>
  <c r="D46" i="8" s="1"/>
  <c r="I44" i="8"/>
  <c r="I46" i="8" s="1"/>
  <c r="E40" i="8"/>
  <c r="J44" i="8"/>
  <c r="J46" i="8" s="1"/>
  <c r="J41" i="8"/>
  <c r="F44" i="8"/>
  <c r="F46" i="8" s="1"/>
  <c r="F41" i="8"/>
  <c r="G40" i="8"/>
  <c r="C40" i="8"/>
  <c r="K40" i="8"/>
  <c r="J19" i="12" l="1"/>
  <c r="J17" i="12"/>
  <c r="J20" i="12"/>
  <c r="E41" i="8"/>
  <c r="E44" i="8"/>
  <c r="E46" i="8" s="1"/>
  <c r="K41" i="8"/>
  <c r="K44" i="8"/>
  <c r="K46" i="8" s="1"/>
  <c r="L41" i="8"/>
  <c r="G41" i="8"/>
  <c r="G44" i="8"/>
  <c r="G46" i="8" s="1"/>
  <c r="H41" i="8"/>
  <c r="C44" i="8"/>
  <c r="C46" i="8" s="1"/>
  <c r="C23" i="11" s="1"/>
  <c r="D41" i="8"/>
  <c r="C25" i="11" l="1"/>
  <c r="O23" i="11"/>
  <c r="N23" i="11"/>
  <c r="N25" i="11" l="1"/>
  <c r="O25" i="11"/>
</calcChain>
</file>

<file path=xl/sharedStrings.xml><?xml version="1.0" encoding="utf-8"?>
<sst xmlns="http://schemas.openxmlformats.org/spreadsheetml/2006/main" count="271" uniqueCount="190">
  <si>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</si>
  <si>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</si>
  <si>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</si>
  <si>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</si>
  <si>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</si>
  <si>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</si>
  <si>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</si>
  <si>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</si>
  <si>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</si>
  <si>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</si>
  <si>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</si>
  <si>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</si>
  <si>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</si>
  <si>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</si>
  <si>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</si>
  <si>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</si>
  <si>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</si>
  <si>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</si>
  <si>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</si>
  <si>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</si>
  <si>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</si>
  <si>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</si>
  <si>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</si>
  <si>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</si>
  <si>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</si>
  <si>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</si>
  <si>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</si>
  <si>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</si>
  <si>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</si>
  <si>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</si>
  <si>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</si>
  <si>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</si>
  <si>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</si>
  <si>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</si>
  <si>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</si>
  <si>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</si>
  <si>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</si>
  <si>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</si>
  <si>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</si>
  <si>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</si>
  <si>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</si>
  <si>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</si>
  <si>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</si>
  <si>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</si>
  <si>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</si>
  <si>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</si>
  <si>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</si>
  <si>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</si>
  <si>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</si>
  <si>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</si>
  <si>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</si>
  <si>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</si>
  <si>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</si>
  <si>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</si>
  <si>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</si>
  <si>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</si>
  <si>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</si>
  <si>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</si>
  <si>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</si>
  <si>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</si>
  <si>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</si>
  <si>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</si>
  <si>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</si>
  <si>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</si>
  <si>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</si>
  <si>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</si>
  <si>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</si>
  <si>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</si>
  <si>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</si>
  <si>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</si>
  <si>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</si>
  <si>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</si>
  <si>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</si>
  <si>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</si>
  <si>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</si>
  <si>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</si>
  <si>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</si>
  <si>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</si>
  <si>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</si>
  <si>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</si>
  <si>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</si>
  <si>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</si>
  <si>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</si>
  <si>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</si>
  <si>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</si>
  <si>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</si>
  <si>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</si>
  <si>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</si>
  <si>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</si>
  <si>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</si>
  <si>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</si>
  <si>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</si>
  <si>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</si>
  <si>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 xml:space="preserve"> </t>
  </si>
  <si>
    <t>Years</t>
  </si>
  <si>
    <t xml:space="preserve">LTM </t>
  </si>
  <si>
    <t>#</t>
  </si>
  <si>
    <t>Income Statement</t>
  </si>
  <si>
    <t xml:space="preserve">COGS </t>
  </si>
  <si>
    <t xml:space="preserve">COGS % Sales </t>
  </si>
  <si>
    <t xml:space="preserve">Gross Margin </t>
  </si>
  <si>
    <t>Gross Profit</t>
  </si>
  <si>
    <t xml:space="preserve">Selling &amp; General Expenses </t>
  </si>
  <si>
    <t xml:space="preserve">S&amp;G % Sales </t>
  </si>
  <si>
    <t>EBITDA</t>
  </si>
  <si>
    <t>EBITDA Margins</t>
  </si>
  <si>
    <t xml:space="preserve">Interest </t>
  </si>
  <si>
    <t xml:space="preserve">Interest % Sales </t>
  </si>
  <si>
    <t xml:space="preserve">Depreciation </t>
  </si>
  <si>
    <t xml:space="preserve">Depreciation % Sales </t>
  </si>
  <si>
    <t xml:space="preserve">Earning Before Tax </t>
  </si>
  <si>
    <t xml:space="preserve">EBT % Sales </t>
  </si>
  <si>
    <t xml:space="preserve">Tax </t>
  </si>
  <si>
    <t xml:space="preserve">Effective Tax Rate </t>
  </si>
  <si>
    <t xml:space="preserve">Net Profit </t>
  </si>
  <si>
    <t>Net Margins</t>
  </si>
  <si>
    <t xml:space="preserve">No. of Equity Shares </t>
  </si>
  <si>
    <t>Earning per Share</t>
  </si>
  <si>
    <t>Dividend per Share</t>
  </si>
  <si>
    <t xml:space="preserve">EPS Growth </t>
  </si>
  <si>
    <t xml:space="preserve">Dividend Payout Ratio </t>
  </si>
  <si>
    <t xml:space="preserve">Retained Earning </t>
  </si>
  <si>
    <t xml:space="preserve">Balance Sheet </t>
  </si>
  <si>
    <t xml:space="preserve">Total Liability </t>
  </si>
  <si>
    <t>Fixed Asset Net Block</t>
  </si>
  <si>
    <t xml:space="preserve">Total Non Current Assets </t>
  </si>
  <si>
    <t xml:space="preserve">Total Current Assets </t>
  </si>
  <si>
    <t xml:space="preserve">Total Assets </t>
  </si>
  <si>
    <t xml:space="preserve">Check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</si>
  <si>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</si>
  <si>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</si>
  <si>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</si>
  <si>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</si>
  <si>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</si>
  <si>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</si>
  <si>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</si>
  <si>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Investments purchased</t>
  </si>
  <si>
    <t>Investments sold</t>
  </si>
  <si>
    <t>Interest received</t>
  </si>
  <si>
    <t>Dividends received</t>
  </si>
  <si>
    <t>Acquisition of companies</t>
  </si>
  <si>
    <t>Inter corporate deposits</t>
  </si>
  <si>
    <t>Other investing items</t>
  </si>
  <si>
    <t>Proceeds from shares</t>
  </si>
  <si>
    <t>Repayment of borrowings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</si>
  <si>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</si>
  <si>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</si>
  <si>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</si>
  <si>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</si>
  <si>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</si>
  <si>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</si>
  <si>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</si>
  <si>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 xml:space="preserve">Cash from Operating Activities </t>
  </si>
  <si>
    <t xml:space="preserve">Cash from Investing Activities </t>
  </si>
  <si>
    <t xml:space="preserve">Cash from Financing Activities </t>
  </si>
  <si>
    <t xml:space="preserve">Net Cash Flow </t>
  </si>
  <si>
    <t xml:space="preserve">Other Income </t>
  </si>
  <si>
    <t xml:space="preserve">Sales Growth </t>
  </si>
  <si>
    <t xml:space="preserve">EBITDA Growth </t>
  </si>
  <si>
    <t xml:space="preserve">Net Profit Growth </t>
  </si>
  <si>
    <t xml:space="preserve">Dividend Growth </t>
  </si>
  <si>
    <t xml:space="preserve">Operating Margin </t>
  </si>
  <si>
    <t xml:space="preserve">EBITDA Margin </t>
  </si>
  <si>
    <t xml:space="preserve">EBT Margin </t>
  </si>
  <si>
    <t xml:space="preserve">Net Profit Margin </t>
  </si>
  <si>
    <t>SalesExpense % Sales</t>
  </si>
  <si>
    <t>Depreciation % Sales</t>
  </si>
  <si>
    <t>OperatingIncome % Sales</t>
  </si>
  <si>
    <t xml:space="preserve">Return on Capital Employed </t>
  </si>
  <si>
    <t xml:space="preserve">Retained Earnings % </t>
  </si>
  <si>
    <t>Return on Equity %</t>
  </si>
  <si>
    <t xml:space="preserve">Self Sustained Growth Rate </t>
  </si>
  <si>
    <t xml:space="preserve">Interest Coverage Ratio </t>
  </si>
  <si>
    <t xml:space="preserve">Debtor Turnover Ratio </t>
  </si>
  <si>
    <t xml:space="preserve">Creditor Turnover Ratio </t>
  </si>
  <si>
    <t xml:space="preserve">Inventory Turnover Ratio </t>
  </si>
  <si>
    <t xml:space="preserve">Fixed Asset Turnover </t>
  </si>
  <si>
    <t xml:space="preserve">Capital Turnover Ratio </t>
  </si>
  <si>
    <t xml:space="preserve">Debtor Days </t>
  </si>
  <si>
    <t xml:space="preserve">Payable Days </t>
  </si>
  <si>
    <t xml:space="preserve">Inventory Days </t>
  </si>
  <si>
    <t xml:space="preserve">Cash Conversion Cycle </t>
  </si>
  <si>
    <t>CFO/Sales</t>
  </si>
  <si>
    <t xml:space="preserve">CFO/Total Assets </t>
  </si>
  <si>
    <t>CFO/Total Debt</t>
  </si>
  <si>
    <t xml:space="preserve">EBT Growth </t>
  </si>
  <si>
    <t xml:space="preserve">Mean </t>
  </si>
  <si>
    <t>Median</t>
  </si>
  <si>
    <t>Trends</t>
  </si>
  <si>
    <t xml:space="preserve">Year 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</si>
</sst>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"/>
    <numFmt numFmtId="167" formatCode="&quot;₹&quot;\ #,##0.0;\(&quot;₹&quot;\ #,##0.0\);\-"/>
    <numFmt numFmtId="168" formatCode="0.00&quot;x&quot;"/>
    <numFmt numFmtId="169" formatCode="0&quot; days&quot;"/>
    <numFmt numFmtId="172" formatCode="yyyy\ &quot;A&quot;"/>
    <numFmt numFmtId="173" formatCode="yyyy\ &quot;E&quot;"/>
    <numFmt numFmtId="174" formatCode="#,##0.0;\(#,##0.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theme="7" tint="-0.499984740745262"/>
      </top>
      <bottom style="hair">
        <color theme="7" tint="-0.499984740745262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theme="7" tint="-0.24994659260841701"/>
      </top>
      <bottom/>
      <diagonal/>
    </border>
    <border>
      <left/>
      <right/>
      <top/>
      <bottom style="hair">
        <color theme="7" tint="-0.2499465926084170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17" fontId="0" fillId="0" borderId="0" xfId="0" applyNumberFormat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0" fontId="5" fillId="7" borderId="0" xfId="0" applyFont="1" applyFill="1"/>
    <xf numFmtId="0" fontId="2" fillId="7" borderId="0" xfId="0" applyFont="1" applyFill="1"/>
    <xf numFmtId="17" fontId="2" fillId="7" borderId="0" xfId="0" applyNumberFormat="1" applyFont="1" applyFill="1"/>
    <xf numFmtId="17" fontId="2" fillId="7" borderId="0" xfId="0" applyNumberFormat="1" applyFont="1" applyFill="1" applyAlignment="1">
      <alignment horizontal="right"/>
    </xf>
    <xf numFmtId="17" fontId="5" fillId="7" borderId="0" xfId="0" applyNumberFormat="1" applyFont="1" applyFill="1"/>
    <xf numFmtId="0" fontId="1" fillId="8" borderId="0" xfId="0" applyFont="1" applyFill="1"/>
    <xf numFmtId="0" fontId="0" fillId="8" borderId="0" xfId="0" applyFill="1"/>
    <xf numFmtId="2" fontId="0" fillId="0" borderId="0" xfId="0" applyNumberFormat="1"/>
    <xf numFmtId="10" fontId="3" fillId="0" borderId="0" xfId="6" applyNumberFormat="1" applyFont="1"/>
    <xf numFmtId="3" fontId="0" fillId="0" borderId="0" xfId="0" applyNumberFormat="1"/>
    <xf numFmtId="9" fontId="0" fillId="0" borderId="0" xfId="0" applyNumberFormat="1"/>
    <xf numFmtId="17" fontId="1" fillId="0" borderId="0" xfId="0" applyNumberFormat="1" applyFont="1"/>
    <xf numFmtId="167" fontId="0" fillId="0" borderId="0" xfId="0" applyNumberFormat="1"/>
    <xf numFmtId="0" fontId="1" fillId="0" borderId="1" xfId="0" applyFont="1" applyBorder="1"/>
    <xf numFmtId="167" fontId="1" fillId="0" borderId="1" xfId="0" applyNumberFormat="1" applyFont="1" applyBorder="1"/>
    <xf numFmtId="43" fontId="1" fillId="0" borderId="1" xfId="1" applyFont="1" applyBorder="1"/>
    <xf numFmtId="0" fontId="11" fillId="0" borderId="1" xfId="0" applyFont="1" applyBorder="1"/>
    <xf numFmtId="0" fontId="0" fillId="0" borderId="0" xfId="0" applyAlignment="1">
      <alignment wrapText="1"/>
    </xf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68" fontId="0" fillId="0" borderId="3" xfId="0" applyNumberFormat="1" applyBorder="1"/>
    <xf numFmtId="168" fontId="0" fillId="0" borderId="2" xfId="0" applyNumberFormat="1" applyBorder="1"/>
    <xf numFmtId="168" fontId="0" fillId="0" borderId="0" xfId="0" applyNumberFormat="1"/>
    <xf numFmtId="169" fontId="0" fillId="0" borderId="2" xfId="0" applyNumberFormat="1" applyBorder="1"/>
    <xf numFmtId="169" fontId="0" fillId="0" borderId="0" xfId="0" applyNumberFormat="1"/>
    <xf numFmtId="169" fontId="0" fillId="0" borderId="3" xfId="0" applyNumberFormat="1" applyBorder="1"/>
    <xf numFmtId="0" fontId="0" fillId="0" borderId="4" xfId="0" applyBorder="1"/>
    <xf numFmtId="10" fontId="0" fillId="0" borderId="4" xfId="6" applyNumberFormat="1" applyFont="1" applyBorder="1"/>
    <xf numFmtId="0" fontId="0" fillId="0" borderId="5" xfId="0" applyBorder="1"/>
    <xf numFmtId="10" fontId="0" fillId="0" borderId="5" xfId="6" applyNumberFormat="1" applyFont="1" applyBorder="1"/>
    <xf numFmtId="168" fontId="0" fillId="0" borderId="4" xfId="0" applyNumberFormat="1" applyBorder="1"/>
    <xf numFmtId="168" fontId="0" fillId="0" borderId="5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72" fontId="0" fillId="0" borderId="0" xfId="0" applyNumberFormat="1"/>
    <xf numFmtId="174" fontId="0" fillId="0" borderId="0" xfId="0" applyNumberFormat="1"/>
    <xf numFmtId="0" fontId="0" fillId="9" borderId="0" xfId="0" applyFill="1"/>
    <xf numFmtId="173" fontId="0" fillId="9" borderId="0" xfId="0" applyNumberFormat="1" applyFill="1"/>
    <xf numFmtId="174" fontId="0" fillId="9" borderId="0" xfId="0" applyNumberFormat="1" applyFill="1"/>
    <xf numFmtId="10" fontId="0" fillId="0" borderId="0" xfId="6" applyNumberFormat="1" applyFont="1"/>
    <xf numFmtId="10" fontId="0" fillId="9" borderId="0" xfId="6" applyNumberFormat="1" applyFont="1" applyFill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Invisible" pivot="0" table="0" count="0" xr9:uid="{51DE9139-5843-458F-B84E-71518C8EB7AC}"/>
  </tableStyles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H3" sqref="H3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68484</v>
      </c>
      <c r="C4" s="1">
        <f>'Data Sheet'!C17</f>
        <v>70522</v>
      </c>
      <c r="D4" s="1">
        <f>'Data Sheet'!D17</f>
        <v>82675</v>
      </c>
      <c r="E4" s="1">
        <f>'Data Sheet'!E17</f>
        <v>90791</v>
      </c>
      <c r="F4" s="1">
        <f>'Data Sheet'!F17</f>
        <v>100472</v>
      </c>
      <c r="G4" s="1">
        <f>'Data Sheet'!G17</f>
        <v>121641</v>
      </c>
      <c r="H4" s="1">
        <f>'Data Sheet'!H17</f>
        <v>146767</v>
      </c>
      <c r="I4" s="1">
        <f>'Data Sheet'!I17</f>
        <v>153670</v>
      </c>
      <c r="J4" s="1">
        <f>'Data Sheet'!J17</f>
        <v>162990</v>
      </c>
      <c r="K4" s="1">
        <f>'Data Sheet'!K17</f>
        <v>178650</v>
      </c>
      <c r="L4" s="1">
        <f>SUM(Quarters!H4:K4)</f>
        <v>184582</v>
      </c>
      <c r="M4" s="1">
        <f>$K4+M23*K4</f>
        <v>195814.60519050248</v>
      </c>
      <c r="N4" s="1">
        <f>$K4+N23*L4</f>
        <v>191150.26667865666</v>
      </c>
    </row>
    <row r="5" spans="1:14" x14ac:dyDescent="0.3">
      <c r="A5" t="s">
        <v>7</v>
      </c>
      <c r="B5" s="6">
        <f>SUM('Data Sheet'!B18,'Data Sheet'!B20:B24, -1*'Data Sheet'!B19)</f>
        <v>49880</v>
      </c>
      <c r="C5" s="6">
        <f>SUM('Data Sheet'!C18,'Data Sheet'!C20:C24, -1*'Data Sheet'!C19)</f>
        <v>51700</v>
      </c>
      <c r="D5" s="6">
        <f>SUM('Data Sheet'!D18,'Data Sheet'!D20:D24, -1*'Data Sheet'!D19)</f>
        <v>62505</v>
      </c>
      <c r="E5" s="6">
        <f>SUM('Data Sheet'!E18,'Data Sheet'!E20:E24, -1*'Data Sheet'!E19)</f>
        <v>68524</v>
      </c>
      <c r="F5" s="6">
        <f>SUM('Data Sheet'!F18,'Data Sheet'!F20:F24, -1*'Data Sheet'!F19)</f>
        <v>72583</v>
      </c>
      <c r="G5" s="6">
        <f>SUM('Data Sheet'!G18,'Data Sheet'!G20:G24, -1*'Data Sheet'!G19)</f>
        <v>90150</v>
      </c>
      <c r="H5" s="6">
        <f>SUM('Data Sheet'!H18,'Data Sheet'!H20:H24, -1*'Data Sheet'!H19)</f>
        <v>111637</v>
      </c>
      <c r="I5" s="6">
        <f>SUM('Data Sheet'!I18,'Data Sheet'!I20:I24, -1*'Data Sheet'!I19)</f>
        <v>117245</v>
      </c>
      <c r="J5" s="6">
        <f>SUM('Data Sheet'!J18,'Data Sheet'!J20:J24, -1*'Data Sheet'!J19)</f>
        <v>123754</v>
      </c>
      <c r="K5" s="6">
        <f>SUM('Data Sheet'!K18,'Data Sheet'!K20:K24, -1*'Data Sheet'!K19)</f>
        <v>136370</v>
      </c>
      <c r="L5" s="6">
        <f>SUM(Quarters!H5:K5)</f>
        <v>140837</v>
      </c>
      <c r="M5" s="6">
        <f t="shared" ref="M5:N5" si="0">M4-M6</f>
        <v>149188.10794479161</v>
      </c>
      <c r="N5" s="6">
        <f t="shared" si="0"/>
        <v>145848.62071178103</v>
      </c>
    </row>
    <row r="6" spans="1:14" s="2" customFormat="1" x14ac:dyDescent="0.3">
      <c r="A6" s="2" t="s">
        <v>8</v>
      </c>
      <c r="B6" s="1">
        <f>B4-B5</f>
        <v>18604</v>
      </c>
      <c r="C6" s="1">
        <f t="shared" ref="C6:K6" si="1">C4-C5</f>
        <v>18822</v>
      </c>
      <c r="D6" s="1">
        <f t="shared" si="1"/>
        <v>20170</v>
      </c>
      <c r="E6" s="1">
        <f t="shared" si="1"/>
        <v>22267</v>
      </c>
      <c r="F6" s="1">
        <f t="shared" si="1"/>
        <v>27889</v>
      </c>
      <c r="G6" s="1">
        <f t="shared" si="1"/>
        <v>31491</v>
      </c>
      <c r="H6" s="1">
        <f t="shared" si="1"/>
        <v>35130</v>
      </c>
      <c r="I6" s="1">
        <f t="shared" si="1"/>
        <v>36425</v>
      </c>
      <c r="J6" s="1">
        <f t="shared" si="1"/>
        <v>39236</v>
      </c>
      <c r="K6" s="1">
        <f t="shared" si="1"/>
        <v>42280</v>
      </c>
      <c r="L6" s="1">
        <f>SUM(Quarters!H6:K6)</f>
        <v>43745</v>
      </c>
      <c r="M6" s="1">
        <f>M4*M24</f>
        <v>46626.497245710874</v>
      </c>
      <c r="N6" s="1">
        <f>N4*N24</f>
        <v>45301.645966875622</v>
      </c>
    </row>
    <row r="7" spans="1:14" x14ac:dyDescent="0.3">
      <c r="A7" t="s">
        <v>9</v>
      </c>
      <c r="B7" s="6">
        <f>'Data Sheet'!B25</f>
        <v>3050</v>
      </c>
      <c r="C7" s="6">
        <f>'Data Sheet'!C25</f>
        <v>3311</v>
      </c>
      <c r="D7" s="6">
        <f>'Data Sheet'!D25</f>
        <v>2882</v>
      </c>
      <c r="E7" s="6">
        <f>'Data Sheet'!E25</f>
        <v>2803</v>
      </c>
      <c r="F7" s="6">
        <f>'Data Sheet'!F25</f>
        <v>2201</v>
      </c>
      <c r="G7" s="6">
        <f>'Data Sheet'!G25</f>
        <v>2295</v>
      </c>
      <c r="H7" s="6">
        <f>'Data Sheet'!H25</f>
        <v>2701</v>
      </c>
      <c r="I7" s="6">
        <f>'Data Sheet'!I25</f>
        <v>4711</v>
      </c>
      <c r="J7" s="6">
        <f>'Data Sheet'!J25</f>
        <v>3600</v>
      </c>
      <c r="K7" s="6">
        <f>'Data Sheet'!K25</f>
        <v>3033</v>
      </c>
      <c r="L7" s="6">
        <f>SUM(Quarters!H7:K7)</f>
        <v>2975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1703</v>
      </c>
      <c r="C8" s="6">
        <f>'Data Sheet'!C26</f>
        <v>1863</v>
      </c>
      <c r="D8" s="6">
        <f>'Data Sheet'!D26</f>
        <v>2011</v>
      </c>
      <c r="E8" s="6">
        <f>'Data Sheet'!E26</f>
        <v>2893</v>
      </c>
      <c r="F8" s="6">
        <f>'Data Sheet'!F26</f>
        <v>3267</v>
      </c>
      <c r="G8" s="6">
        <f>'Data Sheet'!G26</f>
        <v>3476</v>
      </c>
      <c r="H8" s="6">
        <f>'Data Sheet'!H26</f>
        <v>4225</v>
      </c>
      <c r="I8" s="6">
        <f>'Data Sheet'!I26</f>
        <v>4678</v>
      </c>
      <c r="J8" s="6">
        <f>'Data Sheet'!J26</f>
        <v>4812</v>
      </c>
      <c r="K8" s="6">
        <f>'Data Sheet'!K26</f>
        <v>4902</v>
      </c>
      <c r="L8" s="6">
        <f>SUM(Quarters!H8:K8)</f>
        <v>5007</v>
      </c>
      <c r="M8" s="6">
        <f>+$L8</f>
        <v>5007</v>
      </c>
      <c r="N8" s="6">
        <f>+$L8</f>
        <v>5007</v>
      </c>
    </row>
    <row r="9" spans="1:14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0</v>
      </c>
      <c r="E9" s="6">
        <f>'Data Sheet'!E27</f>
        <v>170</v>
      </c>
      <c r="F9" s="6">
        <f>'Data Sheet'!F27</f>
        <v>195</v>
      </c>
      <c r="G9" s="6">
        <f>'Data Sheet'!G27</f>
        <v>200</v>
      </c>
      <c r="H9" s="6">
        <f>'Data Sheet'!H27</f>
        <v>284</v>
      </c>
      <c r="I9" s="6">
        <f>'Data Sheet'!I27</f>
        <v>470</v>
      </c>
      <c r="J9" s="6">
        <f>'Data Sheet'!J27</f>
        <v>416</v>
      </c>
      <c r="K9" s="6">
        <f>'Data Sheet'!K27</f>
        <v>416</v>
      </c>
      <c r="L9" s="6">
        <f>SUM(Quarters!H9:K9)</f>
        <v>430</v>
      </c>
      <c r="M9" s="6">
        <f>+$L9</f>
        <v>430</v>
      </c>
      <c r="N9" s="6">
        <f>+$L9</f>
        <v>430</v>
      </c>
    </row>
    <row r="10" spans="1:14" x14ac:dyDescent="0.3">
      <c r="A10" t="s">
        <v>12</v>
      </c>
      <c r="B10" s="6">
        <f>'Data Sheet'!B28</f>
        <v>19951</v>
      </c>
      <c r="C10" s="6">
        <f>'Data Sheet'!C28</f>
        <v>20270</v>
      </c>
      <c r="D10" s="6">
        <f>'Data Sheet'!D28</f>
        <v>21041</v>
      </c>
      <c r="E10" s="6">
        <f>'Data Sheet'!E28</f>
        <v>22007</v>
      </c>
      <c r="F10" s="6">
        <f>'Data Sheet'!F28</f>
        <v>26628</v>
      </c>
      <c r="G10" s="6">
        <f>'Data Sheet'!G28</f>
        <v>30110</v>
      </c>
      <c r="H10" s="6">
        <f>'Data Sheet'!H28</f>
        <v>33322</v>
      </c>
      <c r="I10" s="6">
        <f>'Data Sheet'!I28</f>
        <v>35988</v>
      </c>
      <c r="J10" s="6">
        <f>'Data Sheet'!J28</f>
        <v>37608</v>
      </c>
      <c r="K10" s="6">
        <f>'Data Sheet'!K28</f>
        <v>39995</v>
      </c>
      <c r="L10" s="6">
        <f>SUM(Quarters!H10:K10)</f>
        <v>41283</v>
      </c>
      <c r="M10" s="6">
        <f>M6+M7-SUM(M8:M9)</f>
        <v>41189.497245710874</v>
      </c>
      <c r="N10" s="6">
        <f>N6+N7-SUM(N8:N9)</f>
        <v>39864.645966875622</v>
      </c>
    </row>
    <row r="11" spans="1:14" x14ac:dyDescent="0.3">
      <c r="A11" t="s">
        <v>13</v>
      </c>
      <c r="B11" s="6">
        <f>'Data Sheet'!B29</f>
        <v>5598</v>
      </c>
      <c r="C11" s="6">
        <f>'Data Sheet'!C29</f>
        <v>4241</v>
      </c>
      <c r="D11" s="6">
        <f>'Data Sheet'!D29</f>
        <v>5631</v>
      </c>
      <c r="E11" s="6">
        <f>'Data Sheet'!E29</f>
        <v>5368</v>
      </c>
      <c r="F11" s="6">
        <f>'Data Sheet'!F29</f>
        <v>7205</v>
      </c>
      <c r="G11" s="6">
        <f>'Data Sheet'!G29</f>
        <v>7964</v>
      </c>
      <c r="H11" s="6">
        <f>'Data Sheet'!H29</f>
        <v>9214</v>
      </c>
      <c r="I11" s="6">
        <f>'Data Sheet'!I29</f>
        <v>9740</v>
      </c>
      <c r="J11" s="6">
        <f>'Data Sheet'!J29</f>
        <v>10858</v>
      </c>
      <c r="K11" s="6">
        <f>'Data Sheet'!K29</f>
        <v>10521</v>
      </c>
      <c r="L11" s="6">
        <f>SUM(Quarters!H11:K11)</f>
        <v>10958</v>
      </c>
      <c r="M11" s="7">
        <f>IF($L10&gt;0,$L11/$L10,0)</f>
        <v>0.26543613593973309</v>
      </c>
      <c r="N11" s="7">
        <f>IF($L10&gt;0,$L11/$L10,0)</f>
        <v>0.26543613593973309</v>
      </c>
    </row>
    <row r="12" spans="1:14" s="2" customFormat="1" x14ac:dyDescent="0.3">
      <c r="A12" s="2" t="s">
        <v>14</v>
      </c>
      <c r="B12" s="1">
        <f>'Data Sheet'!B30</f>
        <v>14353</v>
      </c>
      <c r="C12" s="1">
        <f>'Data Sheet'!C30</f>
        <v>16029</v>
      </c>
      <c r="D12" s="1">
        <f>'Data Sheet'!D30</f>
        <v>15404</v>
      </c>
      <c r="E12" s="1">
        <f>'Data Sheet'!E30</f>
        <v>16594</v>
      </c>
      <c r="F12" s="1">
        <f>'Data Sheet'!F30</f>
        <v>19351</v>
      </c>
      <c r="G12" s="1">
        <f>'Data Sheet'!G30</f>
        <v>22110</v>
      </c>
      <c r="H12" s="1">
        <f>'Data Sheet'!H30</f>
        <v>24095</v>
      </c>
      <c r="I12" s="1">
        <f>'Data Sheet'!I30</f>
        <v>26233</v>
      </c>
      <c r="J12" s="1">
        <f>'Data Sheet'!J30</f>
        <v>26713</v>
      </c>
      <c r="K12" s="1">
        <f>'Data Sheet'!K30</f>
        <v>29440</v>
      </c>
      <c r="L12" s="1">
        <f>SUM(Quarters!H12:K12)</f>
        <v>30288</v>
      </c>
      <c r="M12" s="1">
        <f>M10-M11*M10</f>
        <v>30256.3162555091</v>
      </c>
      <c r="N12" s="1">
        <f>N10-N11*N10</f>
        <v>29283.128380822691</v>
      </c>
    </row>
    <row r="13" spans="1:14" x14ac:dyDescent="0.3">
      <c r="A13" t="s">
        <v>57</v>
      </c>
      <c r="B13" s="6">
        <f>IF('Data Sheet'!B93&gt;0,B12/'Data Sheet'!B93,0)</f>
        <v>31.243605650971944</v>
      </c>
      <c r="C13" s="6">
        <f>IF('Data Sheet'!C93&gt;0,C12/'Data Sheet'!C93,0)</f>
        <v>36.694748408955633</v>
      </c>
      <c r="D13" s="6">
        <f>IF('Data Sheet'!D93&gt;0,D12/'Data Sheet'!D93,0)</f>
        <v>35.258303005333154</v>
      </c>
      <c r="E13" s="6">
        <f>IF('Data Sheet'!E93&gt;0,E12/'Data Sheet'!E93,0)</f>
        <v>38.962197698990373</v>
      </c>
      <c r="F13" s="6">
        <f>IF('Data Sheet'!F93&gt;0,F12/'Data Sheet'!F93,0)</f>
        <v>45.417419672823712</v>
      </c>
      <c r="G13" s="6">
        <f>IF('Data Sheet'!G93&gt;0,G12/'Data Sheet'!G93,0)</f>
        <v>52.559013003066532</v>
      </c>
      <c r="H13" s="6">
        <f>IF('Data Sheet'!H93&gt;0,H12/'Data Sheet'!H93,0)</f>
        <v>58.079834160921756</v>
      </c>
      <c r="I13" s="6">
        <f>IF('Data Sheet'!I93&gt;0,I12/'Data Sheet'!I93,0)</f>
        <v>63.198342528126432</v>
      </c>
      <c r="J13" s="6">
        <f>IF('Data Sheet'!J93&gt;0,J12/'Data Sheet'!J93,0)</f>
        <v>64.317530638287636</v>
      </c>
      <c r="K13" s="6">
        <f>IF('Data Sheet'!K93&gt;0,K12/'Data Sheet'!K93,0)</f>
        <v>72.590985304270632</v>
      </c>
      <c r="L13" s="6">
        <f>IF('Data Sheet'!$B6&gt;0,'Profit &amp; Loss'!L12/'Data Sheet'!$B6,0)</f>
        <v>74.633477676035483</v>
      </c>
      <c r="M13" s="6">
        <f>IF('Data Sheet'!$B6&gt;0,'Profit &amp; Loss'!M12/'Data Sheet'!$B6,0)</f>
        <v>74.555404906715793</v>
      </c>
      <c r="N13" s="6">
        <f>IF('Data Sheet'!$B6&gt;0,'Profit &amp; Loss'!N12/'Data Sheet'!$B6,0)</f>
        <v>72.15734641754527</v>
      </c>
    </row>
    <row r="14" spans="1:14" x14ac:dyDescent="0.3">
      <c r="A14" t="s">
        <v>16</v>
      </c>
      <c r="B14" s="6">
        <f>IF(B15&gt;0,B15/B13,"")</f>
        <v>16.359507468821846</v>
      </c>
      <c r="C14" s="6">
        <f t="shared" ref="C14:K14" si="2">IF(C15&gt;0,C15/C13,"")</f>
        <v>15.421825316613639</v>
      </c>
      <c r="D14" s="6">
        <f t="shared" si="2"/>
        <v>21.097158303038171</v>
      </c>
      <c r="E14" s="6">
        <f t="shared" si="2"/>
        <v>16.464676991683742</v>
      </c>
      <c r="F14" s="6">
        <f t="shared" si="2"/>
        <v>30.121702418479664</v>
      </c>
      <c r="G14" s="6">
        <f t="shared" si="2"/>
        <v>36.280171393034827</v>
      </c>
      <c r="H14" s="6">
        <f t="shared" si="2"/>
        <v>24.585986179705333</v>
      </c>
      <c r="I14" s="6">
        <f t="shared" si="2"/>
        <v>23.703944440208897</v>
      </c>
      <c r="J14" s="6">
        <f t="shared" si="2"/>
        <v>24.420247239171935</v>
      </c>
      <c r="K14" s="6">
        <f t="shared" si="2"/>
        <v>17.228034510869566</v>
      </c>
      <c r="L14" s="6">
        <f t="shared" ref="L14" si="3">IF(L13&gt;0,L15/L13,0)</f>
        <v>13.903948098256736</v>
      </c>
      <c r="M14" s="6">
        <f>M25</f>
        <v>19.814043572126781</v>
      </c>
      <c r="N14" s="6">
        <f>N25</f>
        <v>13.903948098256736</v>
      </c>
    </row>
    <row r="15" spans="1:14" s="2" customFormat="1" x14ac:dyDescent="0.3">
      <c r="A15" s="2" t="s">
        <v>58</v>
      </c>
      <c r="B15" s="1">
        <f>'Data Sheet'!B90</f>
        <v>511.13</v>
      </c>
      <c r="C15" s="1">
        <f>'Data Sheet'!C90</f>
        <v>565.9</v>
      </c>
      <c r="D15" s="1">
        <f>'Data Sheet'!D90</f>
        <v>743.85</v>
      </c>
      <c r="E15" s="1">
        <f>'Data Sheet'!E90</f>
        <v>641.5</v>
      </c>
      <c r="F15" s="1">
        <f>'Data Sheet'!F90</f>
        <v>1368.05</v>
      </c>
      <c r="G15" s="1">
        <f>'Data Sheet'!G90</f>
        <v>1906.85</v>
      </c>
      <c r="H15" s="1">
        <f>'Data Sheet'!H90</f>
        <v>1427.95</v>
      </c>
      <c r="I15" s="1">
        <f>'Data Sheet'!I90</f>
        <v>1498.05</v>
      </c>
      <c r="J15" s="1">
        <f>'Data Sheet'!J90</f>
        <v>1570.65</v>
      </c>
      <c r="K15" s="1">
        <f>'Data Sheet'!K90</f>
        <v>1250.5999999999999</v>
      </c>
      <c r="L15" s="1">
        <f>'Data Sheet'!B8</f>
        <v>1037.7</v>
      </c>
      <c r="M15" s="8">
        <f>M13*M14</f>
        <v>1477.2440413592215</v>
      </c>
      <c r="N15" s="9">
        <f>N13*N14</f>
        <v>1003.271999497481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0.4104786455793214</v>
      </c>
      <c r="C18" s="5">
        <f>IF('Data Sheet'!C30&gt;0, 'Data Sheet'!C31/'Data Sheet'!C30, 0)</f>
        <v>0.5905296649822197</v>
      </c>
      <c r="D18" s="5">
        <f>IF('Data Sheet'!D30&gt;0, 'Data Sheet'!D31/'Data Sheet'!D30, 0)</f>
        <v>0.5987081277590236</v>
      </c>
      <c r="E18" s="5">
        <f>IF('Data Sheet'!E30&gt;0, 'Data Sheet'!E31/'Data Sheet'!E30, 0)</f>
        <v>0.44757141135350126</v>
      </c>
      <c r="F18" s="5">
        <f>IF('Data Sheet'!F30&gt;0, 'Data Sheet'!F31/'Data Sheet'!F30, 0)</f>
        <v>0.59271355485504629</v>
      </c>
      <c r="G18" s="5">
        <f>IF('Data Sheet'!G30&gt;0, 'Data Sheet'!G31/'Data Sheet'!G30, 0)</f>
        <v>0.58831298055178649</v>
      </c>
      <c r="H18" s="5">
        <f>IF('Data Sheet'!H30&gt;0, 'Data Sheet'!H31/'Data Sheet'!H30, 0)</f>
        <v>0.58390537455903713</v>
      </c>
      <c r="I18" s="5">
        <f>IF('Data Sheet'!I30&gt;0, 'Data Sheet'!I31/'Data Sheet'!I30, 0)</f>
        <v>0.72630656043914155</v>
      </c>
      <c r="J18" s="5">
        <f>IF('Data Sheet'!J30&gt;0, 'Data Sheet'!J31/'Data Sheet'!J30, 0)</f>
        <v>0.66738292217272488</v>
      </c>
      <c r="K18" s="5">
        <f>IF('Data Sheet'!K30&gt;0, 'Data Sheet'!K31/'Data Sheet'!K30, 0)</f>
        <v>0.66</v>
      </c>
    </row>
    <row r="19" spans="1:14" x14ac:dyDescent="0.3">
      <c r="A19" t="s">
        <v>18</v>
      </c>
      <c r="B19" s="5">
        <f t="shared" ref="B19:L19" si="4">IF(B6&gt;0,B6/B4,0)</f>
        <v>0.27165469306699375</v>
      </c>
      <c r="C19" s="5">
        <f t="shared" ref="C19:K19" si="5">IF(C6&gt;0,C6/C4,0)</f>
        <v>0.26689543688494372</v>
      </c>
      <c r="D19" s="5">
        <f t="shared" si="5"/>
        <v>0.24396734200181433</v>
      </c>
      <c r="E19" s="5">
        <f t="shared" si="5"/>
        <v>0.24525558700752279</v>
      </c>
      <c r="F19" s="5">
        <f t="shared" si="5"/>
        <v>0.27757982323433394</v>
      </c>
      <c r="G19" s="5">
        <f t="shared" si="5"/>
        <v>0.25888475102966929</v>
      </c>
      <c r="H19" s="5">
        <f t="shared" si="5"/>
        <v>0.23935898396778568</v>
      </c>
      <c r="I19" s="5">
        <f t="shared" si="5"/>
        <v>0.23703390381987374</v>
      </c>
      <c r="J19" s="5">
        <f t="shared" si="5"/>
        <v>0.24072642493404503</v>
      </c>
      <c r="K19" s="5">
        <f t="shared" si="5"/>
        <v>0.23666386789812482</v>
      </c>
      <c r="L19" s="5">
        <f t="shared" si="4"/>
        <v>0.23699493991830189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0.11241852195135271</v>
      </c>
      <c r="I23" s="5">
        <f>IF(D4=0,"",POWER($K4/D4,1/7)-1)</f>
        <v>0.11635961365932812</v>
      </c>
      <c r="J23" s="5">
        <f>IF(F4=0,"",POWER($K4/F4,1/5)-1)</f>
        <v>0.12199673885587958</v>
      </c>
      <c r="K23" s="5">
        <f>IF(H4=0,"",POWER($K4/H4, 1/3)-1)</f>
        <v>6.772202424210727E-2</v>
      </c>
      <c r="L23" s="5">
        <f>IF(ISERROR(MAX(IF(J4=0,"",(K4-J4)/J4),IF(K4=0,"",(L4-K4)/K4))),"",MAX(IF(J4=0,"",(K4-J4)/J4),IF(K4=0,"",(L4-K4)/K4)))</f>
        <v>9.6079514080618447E-2</v>
      </c>
      <c r="M23" s="16">
        <f>MAX(K23:L23)</f>
        <v>9.6079514080618447E-2</v>
      </c>
      <c r="N23" s="16">
        <f>MIN(H23:L23)</f>
        <v>6.772202424210727E-2</v>
      </c>
    </row>
    <row r="24" spans="1:14" x14ac:dyDescent="0.3">
      <c r="G24" t="s">
        <v>18</v>
      </c>
      <c r="H24" s="5">
        <f>IF(SUM(B4:$K$4)=0,"",SUMPRODUCT(B19:$K$19,B4:$K$4)/SUM(B4:$K$4))</f>
        <v>0.24842648101153941</v>
      </c>
      <c r="I24" s="5">
        <f>IF(SUM(E4:$K$4)=0,"",SUMPRODUCT(E19:$K$19,E4:$K$4)/SUM(E4:$K$4))</f>
        <v>0.24578290039278269</v>
      </c>
      <c r="J24" s="5">
        <f>IF(SUM(G4:$K$4)=0,"",SUMPRODUCT(G19:$K$19,G4:$K$4)/SUM(G4:$K$4))</f>
        <v>0.241662498461474</v>
      </c>
      <c r="K24" s="5">
        <f>IF(SUM(I4:$K$4)=0, "", SUMPRODUCT(I19:$K$19,I4:$K$4)/SUM(I4:$K$4))</f>
        <v>0.23811552361147564</v>
      </c>
      <c r="L24" s="5">
        <f>L19</f>
        <v>0.23699493991830189</v>
      </c>
      <c r="M24" s="16">
        <f>MAX(K24:L24)</f>
        <v>0.23811552361147564</v>
      </c>
      <c r="N24" s="16">
        <f>MIN(H24:L24)</f>
        <v>0.23699493991830189</v>
      </c>
    </row>
    <row r="25" spans="1:14" x14ac:dyDescent="0.3">
      <c r="G25" t="s">
        <v>23</v>
      </c>
      <c r="H25" s="6">
        <f>IF(ISERROR(AVERAGEIF(B14:$L14,"&gt;0")),"",AVERAGEIF(B14:$L14,"&gt;0"))</f>
        <v>21.780654759989488</v>
      </c>
      <c r="I25" s="6">
        <f>IF(ISERROR(AVERAGEIF(E14:$L14,"&gt;0")),"",AVERAGEIF(E14:$L14,"&gt;0"))</f>
        <v>23.33858890892634</v>
      </c>
      <c r="J25" s="6">
        <f>IF(ISERROR(AVERAGEIF(G14:$L14,"&gt;0")),"",AVERAGEIF(G14:$L14,"&gt;0"))</f>
        <v>23.353721976874553</v>
      </c>
      <c r="K25" s="6">
        <f>IF(ISERROR(AVERAGEIF(I14:$L14,"&gt;0")),"",AVERAGEIF(I14:$L14,"&gt;0"))</f>
        <v>19.814043572126781</v>
      </c>
      <c r="L25" s="6">
        <f>L14</f>
        <v>13.903948098256736</v>
      </c>
      <c r="M25" s="1">
        <f>MAX(K25:L25)</f>
        <v>19.814043572126781</v>
      </c>
      <c r="N25" s="1">
        <f>MIN(H25:L25)</f>
        <v>13.903948098256736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3">
      <c r="A4" s="2" t="s">
        <v>6</v>
      </c>
      <c r="B4" s="1">
        <f>'Data Sheet'!B42</f>
        <v>37923</v>
      </c>
      <c r="C4" s="1">
        <f>'Data Sheet'!C42</f>
        <v>39315</v>
      </c>
      <c r="D4" s="1">
        <f>'Data Sheet'!D42</f>
        <v>40986</v>
      </c>
      <c r="E4" s="1">
        <f>'Data Sheet'!E42</f>
        <v>41764</v>
      </c>
      <c r="F4" s="1">
        <f>'Data Sheet'!F42</f>
        <v>40925</v>
      </c>
      <c r="G4" s="1">
        <f>'Data Sheet'!G42</f>
        <v>42279</v>
      </c>
      <c r="H4" s="1">
        <f>'Data Sheet'!H42</f>
        <v>44490</v>
      </c>
      <c r="I4" s="1">
        <f>'Data Sheet'!I42</f>
        <v>45479</v>
      </c>
      <c r="J4" s="1">
        <f>'Data Sheet'!J42</f>
        <v>46402</v>
      </c>
      <c r="K4" s="1">
        <f>'Data Sheet'!K42</f>
        <v>48211</v>
      </c>
    </row>
    <row r="5" spans="1:11" x14ac:dyDescent="0.3">
      <c r="A5" t="s">
        <v>7</v>
      </c>
      <c r="B5" s="6">
        <f>'Data Sheet'!B43</f>
        <v>29139</v>
      </c>
      <c r="C5" s="6">
        <f>'Data Sheet'!C43</f>
        <v>29878</v>
      </c>
      <c r="D5" s="6">
        <f>'Data Sheet'!D43</f>
        <v>31177</v>
      </c>
      <c r="E5" s="6">
        <f>'Data Sheet'!E43</f>
        <v>31649</v>
      </c>
      <c r="F5" s="6">
        <f>'Data Sheet'!F43</f>
        <v>31051</v>
      </c>
      <c r="G5" s="6">
        <f>'Data Sheet'!G43</f>
        <v>32336</v>
      </c>
      <c r="H5" s="6">
        <f>'Data Sheet'!H43</f>
        <v>33955</v>
      </c>
      <c r="I5" s="6">
        <f>'Data Sheet'!I43</f>
        <v>34845</v>
      </c>
      <c r="J5" s="6">
        <f>'Data Sheet'!J43</f>
        <v>35235</v>
      </c>
      <c r="K5" s="6">
        <f>'Data Sheet'!K43</f>
        <v>36802</v>
      </c>
    </row>
    <row r="6" spans="1:11" s="2" customFormat="1" x14ac:dyDescent="0.3">
      <c r="A6" s="2" t="s">
        <v>8</v>
      </c>
      <c r="B6" s="1">
        <f>'Data Sheet'!B50</f>
        <v>8784</v>
      </c>
      <c r="C6" s="1">
        <f>'Data Sheet'!C50</f>
        <v>9437</v>
      </c>
      <c r="D6" s="1">
        <f>'Data Sheet'!D50</f>
        <v>9809</v>
      </c>
      <c r="E6" s="1">
        <f>'Data Sheet'!E50</f>
        <v>10115</v>
      </c>
      <c r="F6" s="1">
        <f>'Data Sheet'!F50</f>
        <v>9874</v>
      </c>
      <c r="G6" s="1">
        <f>'Data Sheet'!G50</f>
        <v>9943</v>
      </c>
      <c r="H6" s="1">
        <f>'Data Sheet'!H50</f>
        <v>10535</v>
      </c>
      <c r="I6" s="1">
        <f>'Data Sheet'!I50</f>
        <v>10634</v>
      </c>
      <c r="J6" s="1">
        <f>'Data Sheet'!J50</f>
        <v>11167</v>
      </c>
      <c r="K6" s="1">
        <f>'Data Sheet'!K50</f>
        <v>11409</v>
      </c>
    </row>
    <row r="7" spans="1:11" x14ac:dyDescent="0.3">
      <c r="A7" t="s">
        <v>9</v>
      </c>
      <c r="B7" s="6">
        <f>'Data Sheet'!B44</f>
        <v>2729</v>
      </c>
      <c r="C7" s="6">
        <f>'Data Sheet'!C44</f>
        <v>838</v>
      </c>
      <c r="D7" s="6">
        <f>'Data Sheet'!D44</f>
        <v>712</v>
      </c>
      <c r="E7" s="6">
        <f>'Data Sheet'!E44</f>
        <v>859</v>
      </c>
      <c r="F7" s="6">
        <f>'Data Sheet'!F44</f>
        <v>1190</v>
      </c>
      <c r="G7" s="6">
        <f>'Data Sheet'!G44</f>
        <v>1042</v>
      </c>
      <c r="H7" s="6">
        <f>'Data Sheet'!H44</f>
        <v>982</v>
      </c>
      <c r="I7" s="6">
        <f>'Data Sheet'!I44</f>
        <v>-150</v>
      </c>
      <c r="J7" s="6">
        <f>'Data Sheet'!J44</f>
        <v>1159</v>
      </c>
      <c r="K7" s="6">
        <f>'Data Sheet'!K44</f>
        <v>984</v>
      </c>
    </row>
    <row r="8" spans="1:11" x14ac:dyDescent="0.3">
      <c r="A8" t="s">
        <v>10</v>
      </c>
      <c r="B8" s="6">
        <f>'Data Sheet'!B45</f>
        <v>1163</v>
      </c>
      <c r="C8" s="6">
        <f>'Data Sheet'!C45</f>
        <v>1149</v>
      </c>
      <c r="D8" s="6">
        <f>'Data Sheet'!D45</f>
        <v>1160</v>
      </c>
      <c r="E8" s="6">
        <f>'Data Sheet'!E45</f>
        <v>1203</v>
      </c>
      <c r="F8" s="6">
        <f>'Data Sheet'!F45</f>
        <v>1299</v>
      </c>
      <c r="G8" s="6">
        <f>'Data Sheet'!G45</f>
        <v>1140</v>
      </c>
      <c r="H8" s="6">
        <f>'Data Sheet'!H45</f>
        <v>1182</v>
      </c>
      <c r="I8" s="6">
        <f>'Data Sheet'!I45</f>
        <v>1155</v>
      </c>
      <c r="J8" s="6">
        <f>'Data Sheet'!J45</f>
        <v>1424</v>
      </c>
      <c r="K8" s="6">
        <f>'Data Sheet'!K45</f>
        <v>1246</v>
      </c>
    </row>
    <row r="9" spans="1:11" x14ac:dyDescent="0.3">
      <c r="A9" t="s">
        <v>11</v>
      </c>
      <c r="B9" s="6">
        <f>'Data Sheet'!B46</f>
        <v>110</v>
      </c>
      <c r="C9" s="6">
        <f>'Data Sheet'!C46</f>
        <v>105</v>
      </c>
      <c r="D9" s="6">
        <f>'Data Sheet'!D46</f>
        <v>108</v>
      </c>
      <c r="E9" s="6">
        <f>'Data Sheet'!E46</f>
        <v>101</v>
      </c>
      <c r="F9" s="6">
        <f>'Data Sheet'!F46</f>
        <v>102</v>
      </c>
      <c r="G9" s="6">
        <f>'Data Sheet'!G46</f>
        <v>105</v>
      </c>
      <c r="H9" s="6">
        <f>'Data Sheet'!H46</f>
        <v>106</v>
      </c>
      <c r="I9" s="6">
        <f>'Data Sheet'!I46</f>
        <v>100</v>
      </c>
      <c r="J9" s="6">
        <f>'Data Sheet'!J46</f>
        <v>105</v>
      </c>
      <c r="K9" s="6">
        <f>'Data Sheet'!K46</f>
        <v>119</v>
      </c>
    </row>
    <row r="10" spans="1:11" x14ac:dyDescent="0.3">
      <c r="A10" t="s">
        <v>12</v>
      </c>
      <c r="B10" s="6">
        <f>'Data Sheet'!B47</f>
        <v>10240</v>
      </c>
      <c r="C10" s="6">
        <f>'Data Sheet'!C47</f>
        <v>9021</v>
      </c>
      <c r="D10" s="6">
        <f>'Data Sheet'!D47</f>
        <v>9253</v>
      </c>
      <c r="E10" s="6">
        <f>'Data Sheet'!E47</f>
        <v>9670</v>
      </c>
      <c r="F10" s="6">
        <f>'Data Sheet'!F47</f>
        <v>9663</v>
      </c>
      <c r="G10" s="6">
        <f>'Data Sheet'!G47</f>
        <v>9740</v>
      </c>
      <c r="H10" s="6">
        <f>'Data Sheet'!H47</f>
        <v>10229</v>
      </c>
      <c r="I10" s="6">
        <f>'Data Sheet'!I47</f>
        <v>9229</v>
      </c>
      <c r="J10" s="6">
        <f>'Data Sheet'!J47</f>
        <v>10797</v>
      </c>
      <c r="K10" s="6">
        <f>'Data Sheet'!K47</f>
        <v>11028</v>
      </c>
    </row>
    <row r="11" spans="1:11" x14ac:dyDescent="0.3">
      <c r="A11" t="s">
        <v>13</v>
      </c>
      <c r="B11" s="6">
        <f>'Data Sheet'!B48</f>
        <v>2265</v>
      </c>
      <c r="C11" s="6">
        <f>'Data Sheet'!C48</f>
        <v>2647</v>
      </c>
      <c r="D11" s="6">
        <f>'Data Sheet'!D48</f>
        <v>2737</v>
      </c>
      <c r="E11" s="6">
        <f>'Data Sheet'!E48</f>
        <v>2848</v>
      </c>
      <c r="F11" s="6">
        <f>'Data Sheet'!F48</f>
        <v>2625</v>
      </c>
      <c r="G11" s="6">
        <f>'Data Sheet'!G48</f>
        <v>2816</v>
      </c>
      <c r="H11" s="6">
        <f>'Data Sheet'!H48</f>
        <v>2854</v>
      </c>
      <c r="I11" s="6">
        <f>'Data Sheet'!I48</f>
        <v>2563</v>
      </c>
      <c r="J11" s="6">
        <f>'Data Sheet'!J48</f>
        <v>2288</v>
      </c>
      <c r="K11" s="6">
        <f>'Data Sheet'!K48</f>
        <v>3253</v>
      </c>
    </row>
    <row r="12" spans="1:11" s="2" customFormat="1" x14ac:dyDescent="0.3">
      <c r="A12" s="2" t="s">
        <v>14</v>
      </c>
      <c r="B12" s="1">
        <f>'Data Sheet'!B49</f>
        <v>7969</v>
      </c>
      <c r="C12" s="1">
        <f>'Data Sheet'!C49</f>
        <v>6368</v>
      </c>
      <c r="D12" s="1">
        <f>'Data Sheet'!D49</f>
        <v>6506</v>
      </c>
      <c r="E12" s="1">
        <f>'Data Sheet'!E49</f>
        <v>6806</v>
      </c>
      <c r="F12" s="1">
        <f>'Data Sheet'!F49</f>
        <v>7033</v>
      </c>
      <c r="G12" s="1">
        <f>'Data Sheet'!G49</f>
        <v>6921</v>
      </c>
      <c r="H12" s="1">
        <f>'Data Sheet'!H49</f>
        <v>7364</v>
      </c>
      <c r="I12" s="1">
        <f>'Data Sheet'!I49</f>
        <v>6654</v>
      </c>
      <c r="J12" s="1">
        <f>'Data Sheet'!J49</f>
        <v>8501</v>
      </c>
      <c r="K12" s="1">
        <f>'Data Sheet'!K49</f>
        <v>7769</v>
      </c>
    </row>
    <row r="14" spans="1:11" s="2" customFormat="1" x14ac:dyDescent="0.3">
      <c r="A14" s="2" t="s">
        <v>18</v>
      </c>
      <c r="B14" s="10">
        <f>IF(B4&gt;0,B6/B4,"")</f>
        <v>0.2316272446800095</v>
      </c>
      <c r="C14" s="10">
        <f t="shared" ref="C14:K14" si="0">IF(C4&gt;0,C6/C4,"")</f>
        <v>0.24003560981813557</v>
      </c>
      <c r="D14" s="10">
        <f t="shared" si="0"/>
        <v>0.23932562338359439</v>
      </c>
      <c r="E14" s="10">
        <f t="shared" si="0"/>
        <v>0.2421942342687482</v>
      </c>
      <c r="F14" s="10">
        <f t="shared" si="0"/>
        <v>0.24127061698228466</v>
      </c>
      <c r="G14" s="10">
        <f t="shared" si="0"/>
        <v>0.23517585562572435</v>
      </c>
      <c r="H14" s="10">
        <f t="shared" si="0"/>
        <v>0.23679478534502135</v>
      </c>
      <c r="I14" s="10">
        <f t="shared" si="0"/>
        <v>0.2338222036544339</v>
      </c>
      <c r="J14" s="10">
        <f t="shared" si="0"/>
        <v>0.24065773027024698</v>
      </c>
      <c r="K14" s="10">
        <f t="shared" si="0"/>
        <v>0.2366472381821576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92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INFOSYS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">
      <c r="A4" t="s">
        <v>24</v>
      </c>
      <c r="B4" s="14">
        <f>'Data Sheet'!B57</f>
        <v>1144</v>
      </c>
      <c r="C4" s="14">
        <f>'Data Sheet'!C57</f>
        <v>1088</v>
      </c>
      <c r="D4" s="14">
        <f>'Data Sheet'!D57</f>
        <v>2170</v>
      </c>
      <c r="E4" s="14">
        <f>'Data Sheet'!E57</f>
        <v>2122</v>
      </c>
      <c r="F4" s="14">
        <f>'Data Sheet'!F57</f>
        <v>2124</v>
      </c>
      <c r="G4" s="14">
        <f>'Data Sheet'!G57</f>
        <v>2098</v>
      </c>
      <c r="H4" s="14">
        <f>'Data Sheet'!H57</f>
        <v>2069</v>
      </c>
      <c r="I4" s="14">
        <f>'Data Sheet'!I57</f>
        <v>2071</v>
      </c>
      <c r="J4" s="14">
        <f>'Data Sheet'!J57</f>
        <v>2073</v>
      </c>
      <c r="K4" s="14">
        <f>'Data Sheet'!K57</f>
        <v>2024</v>
      </c>
    </row>
    <row r="5" spans="1:11" x14ac:dyDescent="0.3">
      <c r="A5" t="s">
        <v>25</v>
      </c>
      <c r="B5" s="14">
        <f>'Data Sheet'!B58</f>
        <v>67838</v>
      </c>
      <c r="C5" s="14">
        <f>'Data Sheet'!C58</f>
        <v>63835</v>
      </c>
      <c r="D5" s="14">
        <f>'Data Sheet'!D58</f>
        <v>62778</v>
      </c>
      <c r="E5" s="14">
        <f>'Data Sheet'!E58</f>
        <v>63328</v>
      </c>
      <c r="F5" s="14">
        <f>'Data Sheet'!F58</f>
        <v>74227</v>
      </c>
      <c r="G5" s="14">
        <f>'Data Sheet'!G58</f>
        <v>73252</v>
      </c>
      <c r="H5" s="14">
        <f>'Data Sheet'!H58</f>
        <v>73338</v>
      </c>
      <c r="I5" s="14">
        <f>'Data Sheet'!I58</f>
        <v>86045</v>
      </c>
      <c r="J5" s="14">
        <f>'Data Sheet'!J58</f>
        <v>93745</v>
      </c>
      <c r="K5" s="14">
        <f>'Data Sheet'!K58</f>
        <v>90828</v>
      </c>
    </row>
    <row r="6" spans="1:11" x14ac:dyDescent="0.3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4633</v>
      </c>
      <c r="F6" s="14">
        <f>'Data Sheet'!F59</f>
        <v>5325</v>
      </c>
      <c r="G6" s="14">
        <f>'Data Sheet'!G59</f>
        <v>5474</v>
      </c>
      <c r="H6" s="14">
        <f>'Data Sheet'!H59</f>
        <v>8299</v>
      </c>
      <c r="I6" s="14">
        <f>'Data Sheet'!I59</f>
        <v>8359</v>
      </c>
      <c r="J6" s="14">
        <f>'Data Sheet'!J59</f>
        <v>8227</v>
      </c>
      <c r="K6" s="14">
        <f>'Data Sheet'!K59</f>
        <v>9176</v>
      </c>
    </row>
    <row r="7" spans="1:11" x14ac:dyDescent="0.3">
      <c r="A7" t="s">
        <v>72</v>
      </c>
      <c r="B7" s="14">
        <f>'Data Sheet'!B60</f>
        <v>14166</v>
      </c>
      <c r="C7" s="14">
        <f>'Data Sheet'!C60</f>
        <v>14426</v>
      </c>
      <c r="D7" s="14">
        <f>'Data Sheet'!D60</f>
        <v>19118</v>
      </c>
      <c r="E7" s="14">
        <f>'Data Sheet'!E60</f>
        <v>21717</v>
      </c>
      <c r="F7" s="14">
        <f>'Data Sheet'!F60</f>
        <v>25835</v>
      </c>
      <c r="G7" s="14">
        <f>'Data Sheet'!G60</f>
        <v>35905</v>
      </c>
      <c r="H7" s="14">
        <f>'Data Sheet'!H60</f>
        <v>40890</v>
      </c>
      <c r="I7" s="14">
        <f>'Data Sheet'!I60</f>
        <v>39545</v>
      </c>
      <c r="J7" s="14">
        <f>'Data Sheet'!J60</f>
        <v>43750</v>
      </c>
      <c r="K7" s="14">
        <f>'Data Sheet'!K60</f>
        <v>52260</v>
      </c>
    </row>
    <row r="8" spans="1:11" s="2" customFormat="1" x14ac:dyDescent="0.3">
      <c r="A8" s="2" t="s">
        <v>26</v>
      </c>
      <c r="B8" s="15">
        <f>'Data Sheet'!B61</f>
        <v>83148</v>
      </c>
      <c r="C8" s="15">
        <f>'Data Sheet'!C61</f>
        <v>79349</v>
      </c>
      <c r="D8" s="15">
        <f>'Data Sheet'!D61</f>
        <v>84066</v>
      </c>
      <c r="E8" s="15">
        <f>'Data Sheet'!E61</f>
        <v>91800</v>
      </c>
      <c r="F8" s="15">
        <f>'Data Sheet'!F61</f>
        <v>107511</v>
      </c>
      <c r="G8" s="15">
        <f>'Data Sheet'!G61</f>
        <v>116729</v>
      </c>
      <c r="H8" s="15">
        <f>'Data Sheet'!H61</f>
        <v>124596</v>
      </c>
      <c r="I8" s="15">
        <f>'Data Sheet'!I61</f>
        <v>136020</v>
      </c>
      <c r="J8" s="15">
        <f>'Data Sheet'!J61</f>
        <v>147795</v>
      </c>
      <c r="K8" s="15">
        <f>'Data Sheet'!K61</f>
        <v>154288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14179</v>
      </c>
      <c r="C10" s="14">
        <f>'Data Sheet'!C62</f>
        <v>12574</v>
      </c>
      <c r="D10" s="14">
        <f>'Data Sheet'!D62</f>
        <v>15710</v>
      </c>
      <c r="E10" s="14">
        <f>'Data Sheet'!E62</f>
        <v>23789</v>
      </c>
      <c r="F10" s="14">
        <f>'Data Sheet'!F62</f>
        <v>25505</v>
      </c>
      <c r="G10" s="14">
        <f>'Data Sheet'!G62</f>
        <v>25800</v>
      </c>
      <c r="H10" s="14">
        <f>'Data Sheet'!H62</f>
        <v>29225</v>
      </c>
      <c r="I10" s="14">
        <f>'Data Sheet'!I62</f>
        <v>27622</v>
      </c>
      <c r="J10" s="14">
        <f>'Data Sheet'!J62</f>
        <v>30961</v>
      </c>
      <c r="K10" s="14">
        <f>'Data Sheet'!K62</f>
        <v>33770</v>
      </c>
    </row>
    <row r="11" spans="1:11" x14ac:dyDescent="0.3">
      <c r="A11" t="s">
        <v>28</v>
      </c>
      <c r="B11" s="14">
        <f>'Data Sheet'!B63</f>
        <v>1365</v>
      </c>
      <c r="C11" s="14">
        <f>'Data Sheet'!C63</f>
        <v>1606</v>
      </c>
      <c r="D11" s="14">
        <f>'Data Sheet'!D63</f>
        <v>1388</v>
      </c>
      <c r="E11" s="14">
        <f>'Data Sheet'!E63</f>
        <v>954</v>
      </c>
      <c r="F11" s="14">
        <f>'Data Sheet'!F63</f>
        <v>922</v>
      </c>
      <c r="G11" s="14">
        <f>'Data Sheet'!G63</f>
        <v>416</v>
      </c>
      <c r="H11" s="14">
        <f>'Data Sheet'!H63</f>
        <v>288</v>
      </c>
      <c r="I11" s="14">
        <f>'Data Sheet'!I63</f>
        <v>293</v>
      </c>
      <c r="J11" s="14">
        <f>'Data Sheet'!J63</f>
        <v>814</v>
      </c>
      <c r="K11" s="14">
        <f>'Data Sheet'!K63</f>
        <v>526</v>
      </c>
    </row>
    <row r="12" spans="1:11" x14ac:dyDescent="0.3">
      <c r="A12" t="s">
        <v>29</v>
      </c>
      <c r="B12" s="14">
        <f>'Data Sheet'!B64</f>
        <v>16423</v>
      </c>
      <c r="C12" s="14">
        <f>'Data Sheet'!C64</f>
        <v>12163</v>
      </c>
      <c r="D12" s="14">
        <f>'Data Sheet'!D64</f>
        <v>11261</v>
      </c>
      <c r="E12" s="14">
        <f>'Data Sheet'!E64</f>
        <v>8792</v>
      </c>
      <c r="F12" s="14">
        <f>'Data Sheet'!F64</f>
        <v>14205</v>
      </c>
      <c r="G12" s="14">
        <f>'Data Sheet'!G64</f>
        <v>20324</v>
      </c>
      <c r="H12" s="14">
        <f>'Data Sheet'!H64</f>
        <v>19478</v>
      </c>
      <c r="I12" s="14">
        <f>'Data Sheet'!I64</f>
        <v>24623</v>
      </c>
      <c r="J12" s="14">
        <f>'Data Sheet'!J64</f>
        <v>23541</v>
      </c>
      <c r="K12" s="14">
        <f>'Data Sheet'!K64</f>
        <v>21880</v>
      </c>
    </row>
    <row r="13" spans="1:11" x14ac:dyDescent="0.3">
      <c r="A13" t="s">
        <v>73</v>
      </c>
      <c r="B13" s="14">
        <f>'Data Sheet'!B65</f>
        <v>51181</v>
      </c>
      <c r="C13" s="14">
        <f>'Data Sheet'!C65</f>
        <v>53006</v>
      </c>
      <c r="D13" s="14">
        <f>'Data Sheet'!D65</f>
        <v>55707</v>
      </c>
      <c r="E13" s="14">
        <f>'Data Sheet'!E65</f>
        <v>58265</v>
      </c>
      <c r="F13" s="14">
        <f>'Data Sheet'!F65</f>
        <v>66879</v>
      </c>
      <c r="G13" s="14">
        <f>'Data Sheet'!G65</f>
        <v>70189</v>
      </c>
      <c r="H13" s="14">
        <f>'Data Sheet'!H65</f>
        <v>75605</v>
      </c>
      <c r="I13" s="14">
        <f>'Data Sheet'!I65</f>
        <v>83482</v>
      </c>
      <c r="J13" s="14">
        <f>'Data Sheet'!J65</f>
        <v>92479</v>
      </c>
      <c r="K13" s="14">
        <f>'Data Sheet'!K65</f>
        <v>98112</v>
      </c>
    </row>
    <row r="14" spans="1:11" s="2" customFormat="1" x14ac:dyDescent="0.3">
      <c r="A14" s="2" t="s">
        <v>26</v>
      </c>
      <c r="B14" s="14">
        <f>'Data Sheet'!B66</f>
        <v>83148</v>
      </c>
      <c r="C14" s="14">
        <f>'Data Sheet'!C66</f>
        <v>79349</v>
      </c>
      <c r="D14" s="14">
        <f>'Data Sheet'!D66</f>
        <v>84066</v>
      </c>
      <c r="E14" s="14">
        <f>'Data Sheet'!E66</f>
        <v>91800</v>
      </c>
      <c r="F14" s="14">
        <f>'Data Sheet'!F66</f>
        <v>107511</v>
      </c>
      <c r="G14" s="14">
        <f>'Data Sheet'!G66</f>
        <v>116729</v>
      </c>
      <c r="H14" s="14">
        <f>'Data Sheet'!H66</f>
        <v>124596</v>
      </c>
      <c r="I14" s="14">
        <f>'Data Sheet'!I66</f>
        <v>136020</v>
      </c>
      <c r="J14" s="14">
        <f>'Data Sheet'!J66</f>
        <v>147795</v>
      </c>
      <c r="K14" s="14">
        <f>'Data Sheet'!K66</f>
        <v>154288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37015</v>
      </c>
      <c r="C16" s="4">
        <f t="shared" ref="C16:K16" si="0">C13-C7</f>
        <v>38580</v>
      </c>
      <c r="D16" s="4">
        <f t="shared" si="0"/>
        <v>36589</v>
      </c>
      <c r="E16" s="4">
        <f t="shared" si="0"/>
        <v>36548</v>
      </c>
      <c r="F16" s="4">
        <f t="shared" si="0"/>
        <v>41044</v>
      </c>
      <c r="G16" s="4">
        <f t="shared" si="0"/>
        <v>34284</v>
      </c>
      <c r="H16" s="4">
        <f t="shared" si="0"/>
        <v>34715</v>
      </c>
      <c r="I16" s="4">
        <f t="shared" si="0"/>
        <v>43937</v>
      </c>
      <c r="J16" s="4">
        <f t="shared" si="0"/>
        <v>48729</v>
      </c>
      <c r="K16" s="4">
        <f t="shared" si="0"/>
        <v>45852</v>
      </c>
    </row>
    <row r="17" spans="1:11" x14ac:dyDescent="0.3">
      <c r="A17" t="s">
        <v>44</v>
      </c>
      <c r="B17" s="4">
        <f>'Data Sheet'!B67</f>
        <v>12322</v>
      </c>
      <c r="C17" s="4">
        <f>'Data Sheet'!C67</f>
        <v>13142</v>
      </c>
      <c r="D17" s="4">
        <f>'Data Sheet'!D67</f>
        <v>14827</v>
      </c>
      <c r="E17" s="4">
        <f>'Data Sheet'!E67</f>
        <v>18487</v>
      </c>
      <c r="F17" s="4">
        <f>'Data Sheet'!F67</f>
        <v>19294</v>
      </c>
      <c r="G17" s="4">
        <f>'Data Sheet'!G67</f>
        <v>22698</v>
      </c>
      <c r="H17" s="4">
        <f>'Data Sheet'!H67</f>
        <v>25424</v>
      </c>
      <c r="I17" s="4">
        <f>'Data Sheet'!I67</f>
        <v>30193</v>
      </c>
      <c r="J17" s="4">
        <f>'Data Sheet'!J67</f>
        <v>31158</v>
      </c>
      <c r="K17" s="4">
        <f>'Data Sheet'!K67</f>
        <v>35234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3">
      <c r="A20" t="s">
        <v>46</v>
      </c>
      <c r="B20" s="4">
        <f>IF('Profit &amp; Loss'!B4&gt;0,'Balance Sheet'!B17/('Profit &amp; Loss'!B4/365),0)</f>
        <v>65.672711874306415</v>
      </c>
      <c r="C20" s="4">
        <f>IF('Profit &amp; Loss'!C4&gt;0,'Balance Sheet'!C17/('Profit &amp; Loss'!C4/365),0)</f>
        <v>68.018916082924477</v>
      </c>
      <c r="D20" s="4">
        <f>IF('Profit &amp; Loss'!D4&gt;0,'Balance Sheet'!D17/('Profit &amp; Loss'!D4/365),0)</f>
        <v>65.459389174478375</v>
      </c>
      <c r="E20" s="4">
        <f>IF('Profit &amp; Loss'!E4&gt;0,'Balance Sheet'!E17/('Profit &amp; Loss'!E4/365),0)</f>
        <v>74.321849081957467</v>
      </c>
      <c r="F20" s="4">
        <f>IF('Profit &amp; Loss'!F4&gt;0,'Balance Sheet'!F17/('Profit &amp; Loss'!F4/365),0)</f>
        <v>70.092264511505689</v>
      </c>
      <c r="G20" s="4">
        <f>IF('Profit &amp; Loss'!G4&gt;0,'Balance Sheet'!G17/('Profit &amp; Loss'!G4/365),0)</f>
        <v>68.108368066688044</v>
      </c>
      <c r="H20" s="4">
        <f>IF('Profit &amp; Loss'!H4&gt;0,'Balance Sheet'!H17/('Profit &amp; Loss'!H4/365),0)</f>
        <v>63.227837320378562</v>
      </c>
      <c r="I20" s="4">
        <f>IF('Profit &amp; Loss'!I4&gt;0,'Balance Sheet'!I17/('Profit &amp; Loss'!I4/365),0)</f>
        <v>71.715006182078469</v>
      </c>
      <c r="J20" s="4">
        <f>IF('Profit &amp; Loss'!J4&gt;0,'Balance Sheet'!J17/('Profit &amp; Loss'!J4/365),0)</f>
        <v>69.775262286029815</v>
      </c>
      <c r="K20" s="4">
        <f>IF('Profit &amp; Loss'!K4&gt;0,'Balance Sheet'!K17/('Profit &amp; Loss'!K4/365),0)</f>
        <v>71.986621886369988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0.20806877156359629</v>
      </c>
      <c r="C23" s="10">
        <f>IF(SUM('Balance Sheet'!C4:C5)&gt;0,'Profit &amp; Loss'!C12/SUM('Balance Sheet'!C4:C5),"")</f>
        <v>0.24689247262141306</v>
      </c>
      <c r="D23" s="10">
        <f>IF(SUM('Balance Sheet'!D4:D5)&gt;0,'Profit &amp; Loss'!D12/SUM('Balance Sheet'!D4:D5),"")</f>
        <v>0.23717435486851018</v>
      </c>
      <c r="E23" s="10">
        <f>IF(SUM('Balance Sheet'!E4:E5)&gt;0,'Profit &amp; Loss'!E12/SUM('Balance Sheet'!E4:E5),"")</f>
        <v>0.25353705118411002</v>
      </c>
      <c r="F23" s="10">
        <f>IF(SUM('Balance Sheet'!F4:F5)&gt;0,'Profit &amp; Loss'!F12/SUM('Balance Sheet'!F4:F5),"")</f>
        <v>0.2534478919726002</v>
      </c>
      <c r="G23" s="10">
        <f>IF(SUM('Balance Sheet'!G4:G5)&gt;0,'Profit &amp; Loss'!G12/SUM('Balance Sheet'!G4:G5),"")</f>
        <v>0.29343065693430659</v>
      </c>
      <c r="H23" s="10">
        <f>IF(SUM('Balance Sheet'!H4:H5)&gt;0,'Profit &amp; Loss'!H12/SUM('Balance Sheet'!H4:H5),"")</f>
        <v>0.31953266938082669</v>
      </c>
      <c r="I23" s="10">
        <f>IF(SUM('Balance Sheet'!I4:I5)&gt;0,'Profit &amp; Loss'!I12/SUM('Balance Sheet'!I4:I5),"")</f>
        <v>0.29770983703300197</v>
      </c>
      <c r="J23" s="10">
        <f>IF(SUM('Balance Sheet'!J4:J5)&gt;0,'Profit &amp; Loss'!J12/SUM('Balance Sheet'!J4:J5),"")</f>
        <v>0.27878895405873633</v>
      </c>
      <c r="K23" s="10">
        <f>IF(SUM('Balance Sheet'!K4:K5)&gt;0,'Profit &amp; Loss'!K12/SUM('Balance Sheet'!K4:K5),"")</f>
        <v>0.31706371429802266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0.30275195101004443</v>
      </c>
      <c r="D24" s="10">
        <f>IF((C4+C5+C6+D4+D5+D6)&gt;0,('Profit &amp; Loss'!D10+'Profit &amp; Loss'!D9)*2/(C4+C5+C6+D4+D5+D6),"")</f>
        <v>0.3240292290041657</v>
      </c>
      <c r="E24" s="10">
        <f>IF((D4+D5+D6+E4+E5+E6)&gt;0,('Profit &amp; Loss'!E10+'Profit &amp; Loss'!E9)*2/(D4+D5+D6+E4+E5+E6),"")</f>
        <v>0.32847272107886338</v>
      </c>
      <c r="F24" s="10">
        <f>IF((E4+E5+E6+F4+F5+F6)&gt;0,('Profit &amp; Loss'!F10+'Profit &amp; Loss'!F9)*2/(E4+E5+E6+F4+F5+F6),"")</f>
        <v>0.3534946856529102</v>
      </c>
      <c r="G24" s="10">
        <f>IF((F4+F5+F6+G4+G5+G6)&gt;0,('Profit &amp; Loss'!G10+'Profit &amp; Loss'!G9)*2/(F4+F5+F6+G4+G5+G6),"")</f>
        <v>0.37304615384615386</v>
      </c>
      <c r="H24" s="10">
        <f>IF((G4+G5+G6+H4+H5+H6)&gt;0,('Profit &amp; Loss'!H10+'Profit &amp; Loss'!H9)*2/(G4+G5+G6+H4+H5+H6),"")</f>
        <v>0.40850908648878625</v>
      </c>
      <c r="I24" s="10">
        <f>IF((H4+H5+H6+I4+I5+I6)&gt;0,('Profit &amp; Loss'!I10+'Profit &amp; Loss'!I9)*2/(H4+H5+H6+I4+I5+I6),"")</f>
        <v>0.40468195869708795</v>
      </c>
      <c r="J24" s="10">
        <f>IF((I4+I5+I6+J4+J5+J6)&gt;0,('Profit &amp; Loss'!J10+'Profit &amp; Loss'!J9)*2/(I4+I5+I6+J4+J5+J6),"")</f>
        <v>0.37925393975663274</v>
      </c>
      <c r="K24" s="10">
        <f>IF((J4+J5+J6+K4+K5+K6)&gt;0,('Profit &amp; Loss'!K10+'Profit &amp; Loss'!K9)*2/(J4+J5+J6+K4+K5+K6),"")</f>
        <v>0.39220082203879209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G15" sqref="G1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INFOSYS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">
      <c r="A4" s="2" t="s">
        <v>32</v>
      </c>
      <c r="B4" s="1">
        <f>'Data Sheet'!B82</f>
        <v>11531</v>
      </c>
      <c r="C4" s="1">
        <f>'Data Sheet'!C82</f>
        <v>13218</v>
      </c>
      <c r="D4" s="1">
        <f>'Data Sheet'!D82</f>
        <v>14841</v>
      </c>
      <c r="E4" s="1">
        <f>'Data Sheet'!E82</f>
        <v>17003</v>
      </c>
      <c r="F4" s="1">
        <f>'Data Sheet'!F82</f>
        <v>23224</v>
      </c>
      <c r="G4" s="1">
        <f>'Data Sheet'!G82</f>
        <v>23885</v>
      </c>
      <c r="H4" s="1">
        <f>'Data Sheet'!H82</f>
        <v>22467</v>
      </c>
      <c r="I4" s="1">
        <f>'Data Sheet'!I82</f>
        <v>25210</v>
      </c>
      <c r="J4" s="1">
        <f>'Data Sheet'!J82</f>
        <v>35694</v>
      </c>
      <c r="K4" s="1">
        <f>'Data Sheet'!K82</f>
        <v>33986</v>
      </c>
    </row>
    <row r="5" spans="1:11" x14ac:dyDescent="0.3">
      <c r="A5" t="s">
        <v>33</v>
      </c>
      <c r="B5" s="6">
        <f>'Data Sheet'!B83</f>
        <v>-14664</v>
      </c>
      <c r="C5" s="6">
        <f>'Data Sheet'!C83</f>
        <v>4533</v>
      </c>
      <c r="D5" s="6">
        <f>'Data Sheet'!D83</f>
        <v>-632</v>
      </c>
      <c r="E5" s="6">
        <f>'Data Sheet'!E83</f>
        <v>-331</v>
      </c>
      <c r="F5" s="6">
        <f>'Data Sheet'!F83</f>
        <v>-7373</v>
      </c>
      <c r="G5" s="6">
        <f>'Data Sheet'!G83</f>
        <v>-6485</v>
      </c>
      <c r="H5" s="6">
        <f>'Data Sheet'!H83</f>
        <v>-1071</v>
      </c>
      <c r="I5" s="6">
        <f>'Data Sheet'!I83</f>
        <v>-5093</v>
      </c>
      <c r="J5" s="6">
        <f>'Data Sheet'!J83</f>
        <v>-1864</v>
      </c>
      <c r="K5" s="6">
        <f>'Data Sheet'!K83</f>
        <v>3546</v>
      </c>
    </row>
    <row r="6" spans="1:11" x14ac:dyDescent="0.3">
      <c r="A6" t="s">
        <v>34</v>
      </c>
      <c r="B6" s="6">
        <f>'Data Sheet'!B84</f>
        <v>-6939</v>
      </c>
      <c r="C6" s="6">
        <f>'Data Sheet'!C84</f>
        <v>-20505</v>
      </c>
      <c r="D6" s="6">
        <f>'Data Sheet'!D84</f>
        <v>-14512</v>
      </c>
      <c r="E6" s="6">
        <f>'Data Sheet'!E84</f>
        <v>-17591</v>
      </c>
      <c r="F6" s="6">
        <f>'Data Sheet'!F84</f>
        <v>-9786</v>
      </c>
      <c r="G6" s="6">
        <f>'Data Sheet'!G84</f>
        <v>-24642</v>
      </c>
      <c r="H6" s="6">
        <f>'Data Sheet'!H84</f>
        <v>-26695</v>
      </c>
      <c r="I6" s="6">
        <f>'Data Sheet'!I84</f>
        <v>-17504</v>
      </c>
      <c r="J6" s="6">
        <f>'Data Sheet'!J84</f>
        <v>-24161</v>
      </c>
      <c r="K6" s="6">
        <f>'Data Sheet'!K84</f>
        <v>-39786</v>
      </c>
    </row>
    <row r="7" spans="1:11" s="2" customFormat="1" x14ac:dyDescent="0.3">
      <c r="A7" s="2" t="s">
        <v>35</v>
      </c>
      <c r="B7" s="1">
        <f>'Data Sheet'!B85</f>
        <v>-10072</v>
      </c>
      <c r="C7" s="1">
        <f>'Data Sheet'!C85</f>
        <v>-2754</v>
      </c>
      <c r="D7" s="1">
        <f>'Data Sheet'!D85</f>
        <v>-303</v>
      </c>
      <c r="E7" s="1">
        <f>'Data Sheet'!E85</f>
        <v>-919</v>
      </c>
      <c r="F7" s="1">
        <f>'Data Sheet'!F85</f>
        <v>6065</v>
      </c>
      <c r="G7" s="1">
        <f>'Data Sheet'!G85</f>
        <v>-7242</v>
      </c>
      <c r="H7" s="1">
        <f>'Data Sheet'!H85</f>
        <v>-5299</v>
      </c>
      <c r="I7" s="1">
        <f>'Data Sheet'!I85</f>
        <v>2613</v>
      </c>
      <c r="J7" s="1">
        <f>'Data Sheet'!J85</f>
        <v>9669</v>
      </c>
      <c r="K7" s="1">
        <f>'Data Sheet'!K85</f>
        <v>-2254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K93"/>
  <sheetViews>
    <sheetView zoomScale="70" zoomScaleNormal="7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7" sqref="B17:K1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69" t="str">
        <f>IF(B2&lt;&gt;B3, "A NEW VERSION OF THE WORKSHEET IS AVAILABLE", "")</f>
        <v/>
      </c>
      <c r="F1" s="69"/>
      <c r="G1" s="69"/>
      <c r="H1" s="69"/>
      <c r="I1" s="69"/>
      <c r="J1" s="69"/>
      <c r="K1" s="69"/>
    </row>
    <row r="2" spans="1:11" x14ac:dyDescent="0.3">
      <c r="A2" s="1" t="s">
        <v>61</v>
      </c>
      <c r="B2" s="4">
        <v>2.1</v>
      </c>
      <c r="E2" s="70" t="s">
        <v>36</v>
      </c>
      <c r="F2" s="70"/>
      <c r="G2" s="70"/>
      <c r="H2" s="70"/>
      <c r="I2" s="70"/>
      <c r="J2" s="70"/>
      <c r="K2" s="70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405.8232437120555</v>
      </c>
    </row>
    <row r="7" spans="1:11" x14ac:dyDescent="0.3">
      <c r="A7" s="4" t="s">
        <v>31</v>
      </c>
      <c r="B7">
        <v>5</v>
      </c>
    </row>
    <row r="8" spans="1:11" x14ac:dyDescent="0.3">
      <c r="A8" s="4" t="s">
        <v>43</v>
      </c>
      <c r="B8">
        <v>1037.7</v>
      </c>
    </row>
    <row r="9" spans="1:11" x14ac:dyDescent="0.3">
      <c r="A9" s="4" t="s">
        <v>79</v>
      </c>
      <c r="B9">
        <v>421122.78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">
      <c r="A17" s="6" t="s">
        <v>6</v>
      </c>
      <c r="B17">
        <v>68484</v>
      </c>
      <c r="C17">
        <v>70522</v>
      </c>
      <c r="D17">
        <v>82675</v>
      </c>
      <c r="E17">
        <v>90791</v>
      </c>
      <c r="F17">
        <v>100472</v>
      </c>
      <c r="G17">
        <v>121641</v>
      </c>
      <c r="H17">
        <v>146767</v>
      </c>
      <c r="I17">
        <v>153670</v>
      </c>
      <c r="J17">
        <v>162990</v>
      </c>
      <c r="K17">
        <v>178650</v>
      </c>
    </row>
    <row r="18" spans="1:11" s="6" customFormat="1" x14ac:dyDescent="0.3">
      <c r="A18" s="4" t="s">
        <v>80</v>
      </c>
    </row>
    <row r="19" spans="1:11" s="6" customFormat="1" x14ac:dyDescent="0.3">
      <c r="A19" s="4" t="s">
        <v>81</v>
      </c>
    </row>
    <row r="20" spans="1:11" s="6" customFormat="1" x14ac:dyDescent="0.3">
      <c r="A20" s="4" t="s">
        <v>82</v>
      </c>
      <c r="B20">
        <v>228</v>
      </c>
      <c r="C20">
        <v>207</v>
      </c>
      <c r="D20">
        <v>221</v>
      </c>
      <c r="E20">
        <v>229</v>
      </c>
      <c r="F20">
        <v>143</v>
      </c>
      <c r="G20">
        <v>132</v>
      </c>
      <c r="H20">
        <v>176</v>
      </c>
      <c r="I20">
        <v>199</v>
      </c>
      <c r="J20">
        <v>222</v>
      </c>
      <c r="K20">
        <v>223</v>
      </c>
    </row>
    <row r="21" spans="1:11" s="6" customFormat="1" x14ac:dyDescent="0.3">
      <c r="A21" s="4" t="s">
        <v>83</v>
      </c>
      <c r="B21">
        <v>6712</v>
      </c>
      <c r="C21">
        <v>7286</v>
      </c>
      <c r="D21">
        <v>9902</v>
      </c>
      <c r="E21">
        <v>11086</v>
      </c>
      <c r="F21">
        <v>12800</v>
      </c>
      <c r="G21">
        <v>20690</v>
      </c>
      <c r="H21">
        <v>26330</v>
      </c>
      <c r="I21">
        <v>27195</v>
      </c>
      <c r="J21">
        <v>30395</v>
      </c>
      <c r="K21">
        <v>32922</v>
      </c>
    </row>
    <row r="22" spans="1:11" s="6" customFormat="1" x14ac:dyDescent="0.3">
      <c r="A22" s="4" t="s">
        <v>84</v>
      </c>
      <c r="B22">
        <v>37669</v>
      </c>
      <c r="C22">
        <v>38902</v>
      </c>
      <c r="D22">
        <v>45323</v>
      </c>
      <c r="E22">
        <v>50895</v>
      </c>
      <c r="F22">
        <v>55547</v>
      </c>
      <c r="G22">
        <v>63997</v>
      </c>
      <c r="H22">
        <v>78374</v>
      </c>
      <c r="I22">
        <v>82636</v>
      </c>
      <c r="J22">
        <v>85968</v>
      </c>
      <c r="K22">
        <v>95112</v>
      </c>
    </row>
    <row r="23" spans="1:11" s="6" customFormat="1" x14ac:dyDescent="0.3">
      <c r="A23" s="4" t="s">
        <v>85</v>
      </c>
      <c r="B23">
        <v>4584</v>
      </c>
      <c r="C23">
        <v>4585</v>
      </c>
      <c r="D23">
        <v>5553</v>
      </c>
      <c r="E23">
        <v>5375</v>
      </c>
      <c r="F23">
        <v>3194</v>
      </c>
      <c r="G23">
        <v>4305</v>
      </c>
      <c r="H23">
        <v>5300</v>
      </c>
      <c r="I23">
        <v>5705</v>
      </c>
      <c r="J23">
        <v>6039</v>
      </c>
      <c r="K23">
        <v>6784</v>
      </c>
    </row>
    <row r="24" spans="1:11" s="6" customFormat="1" x14ac:dyDescent="0.3">
      <c r="A24" s="4" t="s">
        <v>86</v>
      </c>
      <c r="B24">
        <v>687</v>
      </c>
      <c r="C24">
        <v>720</v>
      </c>
      <c r="D24">
        <v>1506</v>
      </c>
      <c r="E24">
        <v>939</v>
      </c>
      <c r="F24">
        <v>899</v>
      </c>
      <c r="G24">
        <v>1026</v>
      </c>
      <c r="H24">
        <v>1457</v>
      </c>
      <c r="I24">
        <v>1510</v>
      </c>
      <c r="J24">
        <v>1130</v>
      </c>
      <c r="K24">
        <v>1329</v>
      </c>
    </row>
    <row r="25" spans="1:11" s="6" customFormat="1" x14ac:dyDescent="0.3">
      <c r="A25" s="6" t="s">
        <v>9</v>
      </c>
      <c r="B25">
        <v>3050</v>
      </c>
      <c r="C25">
        <v>3311</v>
      </c>
      <c r="D25">
        <v>2882</v>
      </c>
      <c r="E25">
        <v>2803</v>
      </c>
      <c r="F25">
        <v>2201</v>
      </c>
      <c r="G25">
        <v>2295</v>
      </c>
      <c r="H25">
        <v>2701</v>
      </c>
      <c r="I25">
        <v>4711</v>
      </c>
      <c r="J25">
        <v>3600</v>
      </c>
      <c r="K25">
        <v>3033</v>
      </c>
    </row>
    <row r="26" spans="1:11" s="6" customFormat="1" x14ac:dyDescent="0.3">
      <c r="A26" s="6" t="s">
        <v>10</v>
      </c>
      <c r="B26">
        <v>1703</v>
      </c>
      <c r="C26">
        <v>1863</v>
      </c>
      <c r="D26">
        <v>2011</v>
      </c>
      <c r="E26">
        <v>2893</v>
      </c>
      <c r="F26">
        <v>3267</v>
      </c>
      <c r="G26">
        <v>3476</v>
      </c>
      <c r="H26">
        <v>4225</v>
      </c>
      <c r="I26">
        <v>4678</v>
      </c>
      <c r="J26">
        <v>4812</v>
      </c>
      <c r="K26">
        <v>4902</v>
      </c>
    </row>
    <row r="27" spans="1:11" s="6" customFormat="1" x14ac:dyDescent="0.3">
      <c r="A27" s="6" t="s">
        <v>11</v>
      </c>
      <c r="E27">
        <v>170</v>
      </c>
      <c r="F27">
        <v>195</v>
      </c>
      <c r="G27">
        <v>200</v>
      </c>
      <c r="H27">
        <v>284</v>
      </c>
      <c r="I27">
        <v>470</v>
      </c>
      <c r="J27">
        <v>416</v>
      </c>
      <c r="K27">
        <v>416</v>
      </c>
    </row>
    <row r="28" spans="1:11" s="6" customFormat="1" x14ac:dyDescent="0.3">
      <c r="A28" s="6" t="s">
        <v>12</v>
      </c>
      <c r="B28">
        <v>19951</v>
      </c>
      <c r="C28">
        <v>20270</v>
      </c>
      <c r="D28">
        <v>21041</v>
      </c>
      <c r="E28">
        <v>22007</v>
      </c>
      <c r="F28">
        <v>26628</v>
      </c>
      <c r="G28">
        <v>30110</v>
      </c>
      <c r="H28">
        <v>33322</v>
      </c>
      <c r="I28">
        <v>35988</v>
      </c>
      <c r="J28">
        <v>37608</v>
      </c>
      <c r="K28">
        <v>39995</v>
      </c>
    </row>
    <row r="29" spans="1:11" s="6" customFormat="1" x14ac:dyDescent="0.3">
      <c r="A29" s="6" t="s">
        <v>13</v>
      </c>
      <c r="B29">
        <v>5598</v>
      </c>
      <c r="C29">
        <v>4241</v>
      </c>
      <c r="D29">
        <v>5631</v>
      </c>
      <c r="E29">
        <v>5368</v>
      </c>
      <c r="F29">
        <v>7205</v>
      </c>
      <c r="G29">
        <v>7964</v>
      </c>
      <c r="H29">
        <v>9214</v>
      </c>
      <c r="I29">
        <v>9740</v>
      </c>
      <c r="J29">
        <v>10858</v>
      </c>
      <c r="K29">
        <v>10521</v>
      </c>
    </row>
    <row r="30" spans="1:11" s="6" customFormat="1" x14ac:dyDescent="0.3">
      <c r="A30" s="6" t="s">
        <v>14</v>
      </c>
      <c r="B30">
        <v>14353</v>
      </c>
      <c r="C30">
        <v>16029</v>
      </c>
      <c r="D30">
        <v>15404</v>
      </c>
      <c r="E30">
        <v>16594</v>
      </c>
      <c r="F30">
        <v>19351</v>
      </c>
      <c r="G30">
        <v>22110</v>
      </c>
      <c r="H30">
        <v>24095</v>
      </c>
      <c r="I30">
        <v>26233</v>
      </c>
      <c r="J30">
        <v>26713</v>
      </c>
      <c r="K30">
        <v>29440</v>
      </c>
    </row>
    <row r="31" spans="1:11" s="6" customFormat="1" x14ac:dyDescent="0.3">
      <c r="A31" s="6" t="s">
        <v>70</v>
      </c>
      <c r="B31">
        <v>5891.6</v>
      </c>
      <c r="C31">
        <v>9465.6</v>
      </c>
      <c r="D31">
        <v>9222.5</v>
      </c>
      <c r="E31">
        <v>7427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19430.400000000001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3">
      <c r="A42" s="6" t="s">
        <v>6</v>
      </c>
      <c r="B42">
        <v>37923</v>
      </c>
      <c r="C42">
        <v>39315</v>
      </c>
      <c r="D42">
        <v>40986</v>
      </c>
      <c r="E42">
        <v>41764</v>
      </c>
      <c r="F42">
        <v>40925</v>
      </c>
      <c r="G42">
        <v>42279</v>
      </c>
      <c r="H42">
        <v>44490</v>
      </c>
      <c r="I42">
        <v>45479</v>
      </c>
      <c r="J42">
        <v>46402</v>
      </c>
      <c r="K42">
        <v>48211</v>
      </c>
    </row>
    <row r="43" spans="1:11" s="6" customFormat="1" x14ac:dyDescent="0.3">
      <c r="A43" s="6" t="s">
        <v>7</v>
      </c>
      <c r="B43">
        <v>29139</v>
      </c>
      <c r="C43">
        <v>29878</v>
      </c>
      <c r="D43">
        <v>31177</v>
      </c>
      <c r="E43">
        <v>31649</v>
      </c>
      <c r="F43">
        <v>31051</v>
      </c>
      <c r="G43">
        <v>32336</v>
      </c>
      <c r="H43">
        <v>33955</v>
      </c>
      <c r="I43">
        <v>34845</v>
      </c>
      <c r="J43">
        <v>35235</v>
      </c>
      <c r="K43">
        <v>36802</v>
      </c>
    </row>
    <row r="44" spans="1:11" s="6" customFormat="1" x14ac:dyDescent="0.3">
      <c r="A44" s="6" t="s">
        <v>9</v>
      </c>
      <c r="B44">
        <v>2729</v>
      </c>
      <c r="C44">
        <v>838</v>
      </c>
      <c r="D44">
        <v>712</v>
      </c>
      <c r="E44">
        <v>859</v>
      </c>
      <c r="F44">
        <v>1190</v>
      </c>
      <c r="G44">
        <v>1042</v>
      </c>
      <c r="H44">
        <v>982</v>
      </c>
      <c r="I44">
        <v>-150</v>
      </c>
      <c r="J44">
        <v>1159</v>
      </c>
      <c r="K44">
        <v>984</v>
      </c>
    </row>
    <row r="45" spans="1:11" s="6" customFormat="1" x14ac:dyDescent="0.3">
      <c r="A45" s="6" t="s">
        <v>10</v>
      </c>
      <c r="B45">
        <v>1163</v>
      </c>
      <c r="C45">
        <v>1149</v>
      </c>
      <c r="D45">
        <v>1160</v>
      </c>
      <c r="E45">
        <v>1203</v>
      </c>
      <c r="F45">
        <v>1299</v>
      </c>
      <c r="G45">
        <v>1140</v>
      </c>
      <c r="H45">
        <v>1182</v>
      </c>
      <c r="I45">
        <v>1155</v>
      </c>
      <c r="J45">
        <v>1424</v>
      </c>
      <c r="K45">
        <v>1246</v>
      </c>
    </row>
    <row r="46" spans="1:11" s="6" customFormat="1" x14ac:dyDescent="0.3">
      <c r="A46" s="6" t="s">
        <v>11</v>
      </c>
      <c r="B46">
        <v>110</v>
      </c>
      <c r="C46">
        <v>105</v>
      </c>
      <c r="D46">
        <v>108</v>
      </c>
      <c r="E46">
        <v>101</v>
      </c>
      <c r="F46">
        <v>102</v>
      </c>
      <c r="G46">
        <v>105</v>
      </c>
      <c r="H46">
        <v>106</v>
      </c>
      <c r="I46">
        <v>100</v>
      </c>
      <c r="J46">
        <v>105</v>
      </c>
      <c r="K46">
        <v>119</v>
      </c>
    </row>
    <row r="47" spans="1:11" s="6" customFormat="1" x14ac:dyDescent="0.3">
      <c r="A47" s="6" t="s">
        <v>12</v>
      </c>
      <c r="B47">
        <v>10240</v>
      </c>
      <c r="C47">
        <v>9021</v>
      </c>
      <c r="D47">
        <v>9253</v>
      </c>
      <c r="E47">
        <v>9670</v>
      </c>
      <c r="F47">
        <v>9663</v>
      </c>
      <c r="G47">
        <v>9740</v>
      </c>
      <c r="H47">
        <v>10229</v>
      </c>
      <c r="I47">
        <v>9229</v>
      </c>
      <c r="J47">
        <v>10797</v>
      </c>
      <c r="K47">
        <v>11028</v>
      </c>
    </row>
    <row r="48" spans="1:11" s="6" customFormat="1" x14ac:dyDescent="0.3">
      <c r="A48" s="6" t="s">
        <v>13</v>
      </c>
      <c r="B48">
        <v>2265</v>
      </c>
      <c r="C48">
        <v>2647</v>
      </c>
      <c r="D48">
        <v>2737</v>
      </c>
      <c r="E48">
        <v>2848</v>
      </c>
      <c r="F48">
        <v>2625</v>
      </c>
      <c r="G48">
        <v>2816</v>
      </c>
      <c r="H48">
        <v>2854</v>
      </c>
      <c r="I48">
        <v>2563</v>
      </c>
      <c r="J48">
        <v>2288</v>
      </c>
      <c r="K48">
        <v>3253</v>
      </c>
    </row>
    <row r="49" spans="1:11" s="6" customFormat="1" x14ac:dyDescent="0.3">
      <c r="A49" s="6" t="s">
        <v>14</v>
      </c>
      <c r="B49">
        <v>7969</v>
      </c>
      <c r="C49">
        <v>6368</v>
      </c>
      <c r="D49">
        <v>6506</v>
      </c>
      <c r="E49">
        <v>6806</v>
      </c>
      <c r="F49">
        <v>7033</v>
      </c>
      <c r="G49">
        <v>6921</v>
      </c>
      <c r="H49">
        <v>7364</v>
      </c>
      <c r="I49">
        <v>6654</v>
      </c>
      <c r="J49">
        <v>8501</v>
      </c>
      <c r="K49">
        <v>7769</v>
      </c>
    </row>
    <row r="50" spans="1:11" x14ac:dyDescent="0.3">
      <c r="A50" s="6" t="s">
        <v>8</v>
      </c>
      <c r="B50">
        <v>8784</v>
      </c>
      <c r="C50">
        <v>9437</v>
      </c>
      <c r="D50">
        <v>9809</v>
      </c>
      <c r="E50">
        <v>10115</v>
      </c>
      <c r="F50">
        <v>9874</v>
      </c>
      <c r="G50">
        <v>9943</v>
      </c>
      <c r="H50">
        <v>10535</v>
      </c>
      <c r="I50">
        <v>10634</v>
      </c>
      <c r="J50">
        <v>11167</v>
      </c>
      <c r="K50">
        <v>11409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B57">
        <v>1144</v>
      </c>
      <c r="C57">
        <v>1088</v>
      </c>
      <c r="D57">
        <v>2170</v>
      </c>
      <c r="E57">
        <v>2122</v>
      </c>
      <c r="F57">
        <v>2124</v>
      </c>
      <c r="G57">
        <v>2098</v>
      </c>
      <c r="H57">
        <v>2069</v>
      </c>
      <c r="I57">
        <v>2071</v>
      </c>
      <c r="J57">
        <v>2073</v>
      </c>
      <c r="K57">
        <v>2024</v>
      </c>
    </row>
    <row r="58" spans="1:11" x14ac:dyDescent="0.3">
      <c r="A58" s="6" t="s">
        <v>25</v>
      </c>
      <c r="B58">
        <v>67838</v>
      </c>
      <c r="C58">
        <v>63835</v>
      </c>
      <c r="D58">
        <v>62778</v>
      </c>
      <c r="E58">
        <v>63328</v>
      </c>
      <c r="F58">
        <v>74227</v>
      </c>
      <c r="G58">
        <v>73252</v>
      </c>
      <c r="H58">
        <v>73338</v>
      </c>
      <c r="I58">
        <v>86045</v>
      </c>
      <c r="J58">
        <v>93745</v>
      </c>
      <c r="K58">
        <v>90828</v>
      </c>
    </row>
    <row r="59" spans="1:11" x14ac:dyDescent="0.3">
      <c r="A59" s="6" t="s">
        <v>71</v>
      </c>
      <c r="E59">
        <v>4633</v>
      </c>
      <c r="F59">
        <v>5325</v>
      </c>
      <c r="G59">
        <v>5474</v>
      </c>
      <c r="H59">
        <v>8299</v>
      </c>
      <c r="I59">
        <v>8359</v>
      </c>
      <c r="J59">
        <v>8227</v>
      </c>
      <c r="K59">
        <v>9176</v>
      </c>
    </row>
    <row r="60" spans="1:11" x14ac:dyDescent="0.3">
      <c r="A60" s="6" t="s">
        <v>72</v>
      </c>
      <c r="B60">
        <v>14166</v>
      </c>
      <c r="C60">
        <v>14426</v>
      </c>
      <c r="D60">
        <v>19118</v>
      </c>
      <c r="E60">
        <v>21717</v>
      </c>
      <c r="F60">
        <v>25835</v>
      </c>
      <c r="G60">
        <v>35905</v>
      </c>
      <c r="H60">
        <v>40890</v>
      </c>
      <c r="I60">
        <v>39545</v>
      </c>
      <c r="J60">
        <v>43750</v>
      </c>
      <c r="K60">
        <v>52260</v>
      </c>
    </row>
    <row r="61" spans="1:11" s="1" customFormat="1" x14ac:dyDescent="0.3">
      <c r="A61" s="1" t="s">
        <v>26</v>
      </c>
      <c r="B61">
        <v>83148</v>
      </c>
      <c r="C61">
        <v>79349</v>
      </c>
      <c r="D61">
        <v>84066</v>
      </c>
      <c r="E61">
        <v>91800</v>
      </c>
      <c r="F61">
        <v>107511</v>
      </c>
      <c r="G61">
        <v>116729</v>
      </c>
      <c r="H61">
        <v>124596</v>
      </c>
      <c r="I61">
        <v>136020</v>
      </c>
      <c r="J61">
        <v>147795</v>
      </c>
      <c r="K61">
        <v>154288</v>
      </c>
    </row>
    <row r="62" spans="1:11" x14ac:dyDescent="0.3">
      <c r="A62" s="6" t="s">
        <v>27</v>
      </c>
      <c r="B62">
        <v>14179</v>
      </c>
      <c r="C62">
        <v>12574</v>
      </c>
      <c r="D62">
        <v>15710</v>
      </c>
      <c r="E62">
        <v>23789</v>
      </c>
      <c r="F62">
        <v>25505</v>
      </c>
      <c r="G62">
        <v>25800</v>
      </c>
      <c r="H62">
        <v>29225</v>
      </c>
      <c r="I62">
        <v>27622</v>
      </c>
      <c r="J62">
        <v>30961</v>
      </c>
      <c r="K62">
        <v>33770</v>
      </c>
    </row>
    <row r="63" spans="1:11" x14ac:dyDescent="0.3">
      <c r="A63" s="6" t="s">
        <v>28</v>
      </c>
      <c r="B63">
        <v>1365</v>
      </c>
      <c r="C63">
        <v>1606</v>
      </c>
      <c r="D63">
        <v>1388</v>
      </c>
      <c r="E63">
        <v>954</v>
      </c>
      <c r="F63">
        <v>922</v>
      </c>
      <c r="G63">
        <v>416</v>
      </c>
      <c r="H63">
        <v>288</v>
      </c>
      <c r="I63">
        <v>293</v>
      </c>
      <c r="J63">
        <v>814</v>
      </c>
      <c r="K63">
        <v>526</v>
      </c>
    </row>
    <row r="64" spans="1:11" x14ac:dyDescent="0.3">
      <c r="A64" s="6" t="s">
        <v>29</v>
      </c>
      <c r="B64">
        <v>16423</v>
      </c>
      <c r="C64">
        <v>12163</v>
      </c>
      <c r="D64">
        <v>11261</v>
      </c>
      <c r="E64">
        <v>8792</v>
      </c>
      <c r="F64">
        <v>14205</v>
      </c>
      <c r="G64">
        <v>20324</v>
      </c>
      <c r="H64">
        <v>19478</v>
      </c>
      <c r="I64">
        <v>24623</v>
      </c>
      <c r="J64">
        <v>23541</v>
      </c>
      <c r="K64">
        <v>21880</v>
      </c>
    </row>
    <row r="65" spans="1:11" x14ac:dyDescent="0.3">
      <c r="A65" s="6" t="s">
        <v>73</v>
      </c>
      <c r="B65">
        <v>51181</v>
      </c>
      <c r="C65">
        <v>53006</v>
      </c>
      <c r="D65">
        <v>55707</v>
      </c>
      <c r="E65">
        <v>58265</v>
      </c>
      <c r="F65">
        <v>66879</v>
      </c>
      <c r="G65">
        <v>70189</v>
      </c>
      <c r="H65">
        <v>75605</v>
      </c>
      <c r="I65">
        <v>83482</v>
      </c>
      <c r="J65">
        <v>92479</v>
      </c>
      <c r="K65">
        <v>98112</v>
      </c>
    </row>
    <row r="66" spans="1:11" s="1" customFormat="1" x14ac:dyDescent="0.3">
      <c r="A66" s="1" t="s">
        <v>26</v>
      </c>
      <c r="B66">
        <v>83148</v>
      </c>
      <c r="C66">
        <v>79349</v>
      </c>
      <c r="D66">
        <v>84066</v>
      </c>
      <c r="E66">
        <v>91800</v>
      </c>
      <c r="F66">
        <v>107511</v>
      </c>
      <c r="G66">
        <v>116729</v>
      </c>
      <c r="H66">
        <v>124596</v>
      </c>
      <c r="I66">
        <v>136020</v>
      </c>
      <c r="J66">
        <v>147795</v>
      </c>
      <c r="K66">
        <v>154288</v>
      </c>
    </row>
    <row r="67" spans="1:11" s="6" customFormat="1" x14ac:dyDescent="0.3">
      <c r="A67" s="6" t="s">
        <v>78</v>
      </c>
      <c r="B67">
        <v>12322</v>
      </c>
      <c r="C67">
        <v>13142</v>
      </c>
      <c r="D67">
        <v>14827</v>
      </c>
      <c r="E67">
        <v>18487</v>
      </c>
      <c r="F67">
        <v>19294</v>
      </c>
      <c r="G67">
        <v>22698</v>
      </c>
      <c r="H67">
        <v>25424</v>
      </c>
      <c r="I67">
        <v>30193</v>
      </c>
      <c r="J67">
        <v>31158</v>
      </c>
      <c r="K67">
        <v>35234</v>
      </c>
    </row>
    <row r="68" spans="1:11" x14ac:dyDescent="0.3">
      <c r="A68" s="6" t="s">
        <v>45</v>
      </c>
    </row>
    <row r="69" spans="1:11" x14ac:dyDescent="0.3">
      <c r="A69" s="4" t="s">
        <v>87</v>
      </c>
      <c r="B69">
        <v>22625</v>
      </c>
      <c r="C69">
        <v>19818</v>
      </c>
      <c r="D69">
        <v>19568</v>
      </c>
      <c r="E69">
        <v>18649</v>
      </c>
      <c r="F69">
        <v>24714</v>
      </c>
      <c r="G69">
        <v>17472</v>
      </c>
      <c r="H69">
        <v>12173</v>
      </c>
      <c r="I69">
        <v>14786</v>
      </c>
      <c r="J69">
        <v>24455</v>
      </c>
      <c r="K69">
        <v>22201</v>
      </c>
    </row>
    <row r="70" spans="1:11" x14ac:dyDescent="0.3">
      <c r="A70" s="4" t="s">
        <v>74</v>
      </c>
      <c r="B70">
        <v>2285655150</v>
      </c>
      <c r="C70">
        <v>2173312301</v>
      </c>
      <c r="D70">
        <v>4335954462</v>
      </c>
      <c r="E70">
        <v>4240753210</v>
      </c>
      <c r="F70">
        <v>4245146114</v>
      </c>
      <c r="G70">
        <v>4193012929</v>
      </c>
      <c r="H70">
        <v>4136387925</v>
      </c>
      <c r="I70">
        <v>4139950635</v>
      </c>
      <c r="J70">
        <v>4143607528</v>
      </c>
      <c r="K70">
        <v>4046940812</v>
      </c>
    </row>
    <row r="71" spans="1:11" x14ac:dyDescent="0.3">
      <c r="A71" s="4" t="s">
        <v>75</v>
      </c>
      <c r="D71">
        <v>2184191490</v>
      </c>
    </row>
    <row r="72" spans="1:11" x14ac:dyDescent="0.3">
      <c r="A72" s="4" t="s">
        <v>88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B82">
        <v>11531</v>
      </c>
      <c r="C82">
        <v>13218</v>
      </c>
      <c r="D82">
        <v>14841</v>
      </c>
      <c r="E82">
        <v>17003</v>
      </c>
      <c r="F82">
        <v>23224</v>
      </c>
      <c r="G82">
        <v>23885</v>
      </c>
      <c r="H82">
        <v>22467</v>
      </c>
      <c r="I82">
        <v>25210</v>
      </c>
      <c r="J82">
        <v>35694</v>
      </c>
      <c r="K82">
        <v>33986</v>
      </c>
    </row>
    <row r="83" spans="1:11" s="6" customFormat="1" x14ac:dyDescent="0.3">
      <c r="A83" s="6" t="s">
        <v>33</v>
      </c>
      <c r="B83">
        <v>-14664</v>
      </c>
      <c r="C83">
        <v>4533</v>
      </c>
      <c r="D83">
        <v>-632</v>
      </c>
      <c r="E83">
        <v>-331</v>
      </c>
      <c r="F83">
        <v>-7373</v>
      </c>
      <c r="G83">
        <v>-6485</v>
      </c>
      <c r="H83">
        <v>-1071</v>
      </c>
      <c r="I83">
        <v>-5093</v>
      </c>
      <c r="J83">
        <v>-1864</v>
      </c>
      <c r="K83">
        <v>3546</v>
      </c>
    </row>
    <row r="84" spans="1:11" s="6" customFormat="1" x14ac:dyDescent="0.3">
      <c r="A84" s="6" t="s">
        <v>34</v>
      </c>
      <c r="B84">
        <v>-6939</v>
      </c>
      <c r="C84">
        <v>-20505</v>
      </c>
      <c r="D84">
        <v>-14512</v>
      </c>
      <c r="E84">
        <v>-17591</v>
      </c>
      <c r="F84">
        <v>-9786</v>
      </c>
      <c r="G84">
        <v>-24642</v>
      </c>
      <c r="H84">
        <v>-26695</v>
      </c>
      <c r="I84">
        <v>-17504</v>
      </c>
      <c r="J84">
        <v>-24161</v>
      </c>
      <c r="K84">
        <v>-39786</v>
      </c>
    </row>
    <row r="85" spans="1:11" s="1" customFormat="1" x14ac:dyDescent="0.3">
      <c r="A85" s="6" t="s">
        <v>35</v>
      </c>
      <c r="B85">
        <v>-10072</v>
      </c>
      <c r="C85">
        <v>-2754</v>
      </c>
      <c r="D85">
        <v>-303</v>
      </c>
      <c r="E85">
        <v>-919</v>
      </c>
      <c r="F85">
        <v>6065</v>
      </c>
      <c r="G85">
        <v>-7242</v>
      </c>
      <c r="H85">
        <v>-5299</v>
      </c>
      <c r="I85">
        <v>2613</v>
      </c>
      <c r="J85">
        <v>9669</v>
      </c>
      <c r="K85">
        <v>-2254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1250.5999999999999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459.39</v>
      </c>
      <c r="C93" s="24">
        <v>436.82</v>
      </c>
      <c r="D93" s="24">
        <v>436.89</v>
      </c>
      <c r="E93" s="24">
        <v>425.9</v>
      </c>
      <c r="F93" s="24">
        <v>426.07</v>
      </c>
      <c r="G93" s="24">
        <v>420.67</v>
      </c>
      <c r="H93" s="24">
        <v>414.86</v>
      </c>
      <c r="I93" s="24">
        <v>415.09</v>
      </c>
      <c r="J93" s="24">
        <v>415.33</v>
      </c>
      <c r="K93" s="24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203B-5F39-4768-BF91-E4E2C1B7DED2}">
  <sheetPr>
    <tabColor theme="7" tint="-0.249977111117893"/>
  </sheetPr>
  <dimension ref="A2:N102"/>
  <sheetViews>
    <sheetView showGridLines="0" zoomScale="106" workbookViewId="0">
      <pane ySplit="3" topLeftCell="A4" activePane="bottomLeft" state="frozen"/>
      <selection activeCell="D28" sqref="D28"/>
      <selection pane="bottomLeft" activeCell="D7" sqref="D7"/>
    </sheetView>
  </sheetViews>
  <sheetFormatPr defaultRowHeight="14.4" x14ac:dyDescent="0.3"/>
  <cols>
    <col min="1" max="1" width="1.88671875" customWidth="1"/>
    <col min="2" max="2" width="27.21875" bestFit="1" customWidth="1"/>
    <col min="3" max="3" width="12" bestFit="1" customWidth="1"/>
    <col min="4" max="6" width="11.44140625" bestFit="1" customWidth="1"/>
    <col min="7" max="12" width="12.88671875" bestFit="1" customWidth="1"/>
    <col min="13" max="13" width="11.33203125" bestFit="1" customWidth="1"/>
    <col min="14" max="14" width="9.44140625" bestFit="1" customWidth="1"/>
  </cols>
  <sheetData>
    <row r="2" spans="1:14" x14ac:dyDescent="0.3">
      <c r="A2" t="s">
        <v>93</v>
      </c>
      <c r="B2" s="71" t="str">
        <f>"Historical Financial Statement - "&amp;'Data Sheet'!B1</f>
        <v>Historical Financial Statement - INFOSYS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4" x14ac:dyDescent="0.3">
      <c r="B3" s="26" t="s">
        <v>94</v>
      </c>
      <c r="C3" s="27">
        <f>'Data Sheet'!B16</f>
        <v>42825</v>
      </c>
      <c r="D3" s="27">
        <f>'Data Sheet'!C16</f>
        <v>43190</v>
      </c>
      <c r="E3" s="27">
        <f>'Data Sheet'!D16</f>
        <v>43555</v>
      </c>
      <c r="F3" s="27">
        <f>'Data Sheet'!E16</f>
        <v>43921</v>
      </c>
      <c r="G3" s="27">
        <f>'Data Sheet'!F16</f>
        <v>44286</v>
      </c>
      <c r="H3" s="27">
        <f>'Data Sheet'!G16</f>
        <v>44651</v>
      </c>
      <c r="I3" s="27">
        <f>'Data Sheet'!H16</f>
        <v>45016</v>
      </c>
      <c r="J3" s="27">
        <f>'Data Sheet'!I16</f>
        <v>45382</v>
      </c>
      <c r="K3" s="27">
        <f>'Data Sheet'!J16</f>
        <v>45747</v>
      </c>
      <c r="L3" s="27">
        <f>'Data Sheet'!K16</f>
        <v>46112</v>
      </c>
      <c r="M3" s="28" t="s">
        <v>95</v>
      </c>
      <c r="N3" s="25"/>
    </row>
    <row r="4" spans="1:14" s="32" customFormat="1" x14ac:dyDescent="0.3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  <c r="N4" s="36"/>
    </row>
    <row r="5" spans="1:14" x14ac:dyDescent="0.3">
      <c r="A5" t="s">
        <v>96</v>
      </c>
      <c r="B5" s="37" t="s">
        <v>97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4" x14ac:dyDescent="0.3">
      <c r="B6" t="s">
        <v>6</v>
      </c>
      <c r="C6" s="44">
        <f>IFERROR('Data Sheet'!B17,0)</f>
        <v>68484</v>
      </c>
      <c r="D6" s="44">
        <f>IFERROR('Data Sheet'!C17,0)</f>
        <v>70522</v>
      </c>
      <c r="E6" s="44">
        <f>IFERROR('Data Sheet'!D17,0)</f>
        <v>82675</v>
      </c>
      <c r="F6" s="44">
        <f>IFERROR('Data Sheet'!E17,0)</f>
        <v>90791</v>
      </c>
      <c r="G6" s="44">
        <f>IFERROR('Data Sheet'!F17,0)</f>
        <v>100472</v>
      </c>
      <c r="H6" s="44">
        <f>IFERROR('Data Sheet'!G17,0)</f>
        <v>121641</v>
      </c>
      <c r="I6" s="44">
        <f>IFERROR('Data Sheet'!H17,0)</f>
        <v>146767</v>
      </c>
      <c r="J6" s="44">
        <f>IFERROR('Data Sheet'!I17,0)</f>
        <v>153670</v>
      </c>
      <c r="K6" s="44">
        <f>IFERROR('Data Sheet'!J17,0)</f>
        <v>162990</v>
      </c>
      <c r="L6" s="44">
        <f>IFERROR('Data Sheet'!K17,0)</f>
        <v>178650</v>
      </c>
      <c r="M6" s="44">
        <f>IFERROR(SUM('Data Sheet'!H42:K42),0)</f>
        <v>184582</v>
      </c>
    </row>
    <row r="7" spans="1:14" x14ac:dyDescent="0.3">
      <c r="B7" s="30" t="s">
        <v>22</v>
      </c>
      <c r="C7" s="30"/>
      <c r="D7" s="31">
        <f t="shared" ref="D7:M7" si="0">IFERROR(D6/C6-1,0)</f>
        <v>2.9758775772443125E-2</v>
      </c>
      <c r="E7" s="31">
        <f t="shared" si="0"/>
        <v>0.17232920223476356</v>
      </c>
      <c r="F7" s="31">
        <f t="shared" si="0"/>
        <v>9.8167523435137571E-2</v>
      </c>
      <c r="G7" s="31">
        <f t="shared" si="0"/>
        <v>0.10662951173574475</v>
      </c>
      <c r="H7" s="31">
        <f t="shared" si="0"/>
        <v>0.21069551715900947</v>
      </c>
      <c r="I7" s="31">
        <f t="shared" si="0"/>
        <v>0.20655864387829759</v>
      </c>
      <c r="J7" s="31">
        <f t="shared" si="0"/>
        <v>4.7033733741236095E-2</v>
      </c>
      <c r="K7" s="31">
        <f t="shared" si="0"/>
        <v>6.0649443612936782E-2</v>
      </c>
      <c r="L7" s="31">
        <f t="shared" si="0"/>
        <v>9.6079514080618544E-2</v>
      </c>
      <c r="M7" s="31">
        <f t="shared" si="0"/>
        <v>3.3204589980408539E-2</v>
      </c>
    </row>
    <row r="9" spans="1:14" x14ac:dyDescent="0.3">
      <c r="B9" t="s">
        <v>98</v>
      </c>
      <c r="C9" s="44">
        <f>IFERROR(SUM('Data Sheet'!B18,'Data Sheet'!B20:B22)-1*'Data Sheet'!B19,0)</f>
        <v>44609</v>
      </c>
      <c r="D9" s="44">
        <f>IFERROR(SUM('Data Sheet'!C18,'Data Sheet'!C20:C22)-1*'Data Sheet'!C19,0)</f>
        <v>46395</v>
      </c>
      <c r="E9" s="44">
        <f>IFERROR(SUM('Data Sheet'!D18,'Data Sheet'!D20:D22)-1*'Data Sheet'!D19,0)</f>
        <v>55446</v>
      </c>
      <c r="F9" s="44">
        <f>IFERROR(SUM('Data Sheet'!E18,'Data Sheet'!E20:E22)-1*'Data Sheet'!E19,0)</f>
        <v>62210</v>
      </c>
      <c r="G9" s="44">
        <f>IFERROR(SUM('Data Sheet'!F18,'Data Sheet'!F20:F22)-1*'Data Sheet'!F19,0)</f>
        <v>68490</v>
      </c>
      <c r="H9" s="44">
        <f>IFERROR(SUM('Data Sheet'!G18,'Data Sheet'!G20:G22)-1*'Data Sheet'!G19,0)</f>
        <v>84819</v>
      </c>
      <c r="I9" s="44">
        <f>IFERROR(SUM('Data Sheet'!H18,'Data Sheet'!H20:H22)-1*'Data Sheet'!H19,0)</f>
        <v>104880</v>
      </c>
      <c r="J9" s="44">
        <f>IFERROR(SUM('Data Sheet'!I18,'Data Sheet'!I20:I22)-1*'Data Sheet'!I19,0)</f>
        <v>110030</v>
      </c>
      <c r="K9" s="44">
        <f>IFERROR(SUM('Data Sheet'!J18,'Data Sheet'!J20:J22)-1*'Data Sheet'!J19,0)</f>
        <v>116585</v>
      </c>
      <c r="L9" s="44">
        <f>IFERROR(SUM('Data Sheet'!K18,'Data Sheet'!K20:K22)-1*'Data Sheet'!K19,0)</f>
        <v>128257</v>
      </c>
      <c r="M9" s="44">
        <f>IFERROR(SUM('Data Sheet'!H43:K43),0)</f>
        <v>140837</v>
      </c>
    </row>
    <row r="10" spans="1:14" x14ac:dyDescent="0.3">
      <c r="B10" s="30" t="s">
        <v>99</v>
      </c>
      <c r="C10" s="31">
        <f>IFERROR(C9/C6,0)</f>
        <v>0.65137842415746738</v>
      </c>
      <c r="D10" s="31">
        <f t="shared" ref="D10:M10" si="1">IFERROR(D9/D6,0)</f>
        <v>0.65787981055557132</v>
      </c>
      <c r="E10" s="31">
        <f t="shared" si="1"/>
        <v>0.67065013607499246</v>
      </c>
      <c r="F10" s="31">
        <f t="shared" si="1"/>
        <v>0.68520007489729162</v>
      </c>
      <c r="G10" s="31">
        <f t="shared" si="1"/>
        <v>0.68168245879448996</v>
      </c>
      <c r="H10" s="31">
        <f t="shared" si="1"/>
        <v>0.69728956519594543</v>
      </c>
      <c r="I10" s="31">
        <f t="shared" si="1"/>
        <v>0.71460205632056251</v>
      </c>
      <c r="J10" s="31">
        <f t="shared" si="1"/>
        <v>0.71601483698835167</v>
      </c>
      <c r="K10" s="31">
        <f t="shared" si="1"/>
        <v>0.71528928155101545</v>
      </c>
      <c r="L10" s="31">
        <f t="shared" si="1"/>
        <v>0.71792331374195351</v>
      </c>
      <c r="M10" s="31">
        <f t="shared" si="1"/>
        <v>0.76300506008169811</v>
      </c>
    </row>
    <row r="12" spans="1:14" x14ac:dyDescent="0.3">
      <c r="B12" s="45" t="s">
        <v>101</v>
      </c>
      <c r="C12" s="46">
        <f>C6-C9</f>
        <v>23875</v>
      </c>
      <c r="D12" s="46">
        <f t="shared" ref="D12:M12" si="2">D6-D9</f>
        <v>24127</v>
      </c>
      <c r="E12" s="46">
        <f t="shared" si="2"/>
        <v>27229</v>
      </c>
      <c r="F12" s="46">
        <f t="shared" si="2"/>
        <v>28581</v>
      </c>
      <c r="G12" s="46">
        <f t="shared" si="2"/>
        <v>31982</v>
      </c>
      <c r="H12" s="46">
        <f t="shared" si="2"/>
        <v>36822</v>
      </c>
      <c r="I12" s="46">
        <f t="shared" si="2"/>
        <v>41887</v>
      </c>
      <c r="J12" s="46">
        <f t="shared" si="2"/>
        <v>43640</v>
      </c>
      <c r="K12" s="46">
        <f t="shared" si="2"/>
        <v>46405</v>
      </c>
      <c r="L12" s="46">
        <f t="shared" si="2"/>
        <v>50393</v>
      </c>
      <c r="M12" s="46">
        <f t="shared" si="2"/>
        <v>43745</v>
      </c>
    </row>
    <row r="13" spans="1:14" x14ac:dyDescent="0.3">
      <c r="B13" s="30" t="s">
        <v>100</v>
      </c>
      <c r="C13" s="31">
        <f>IFERROR(C12/C6,0)</f>
        <v>0.34862157584253256</v>
      </c>
      <c r="D13" s="31">
        <f t="shared" ref="D13:M13" si="3">IFERROR(D12/D6,0)</f>
        <v>0.34212018944442868</v>
      </c>
      <c r="E13" s="31">
        <f t="shared" si="3"/>
        <v>0.32934986392500754</v>
      </c>
      <c r="F13" s="31">
        <f t="shared" si="3"/>
        <v>0.31479992510270843</v>
      </c>
      <c r="G13" s="31">
        <f t="shared" si="3"/>
        <v>0.31831754120550998</v>
      </c>
      <c r="H13" s="31">
        <f t="shared" si="3"/>
        <v>0.30271043480405457</v>
      </c>
      <c r="I13" s="31">
        <f t="shared" si="3"/>
        <v>0.28539794367943749</v>
      </c>
      <c r="J13" s="31">
        <f t="shared" si="3"/>
        <v>0.28398516301164833</v>
      </c>
      <c r="K13" s="31">
        <f t="shared" si="3"/>
        <v>0.2847107184489846</v>
      </c>
      <c r="L13" s="31">
        <f t="shared" si="3"/>
        <v>0.28207668625804644</v>
      </c>
      <c r="M13" s="31">
        <f t="shared" si="3"/>
        <v>0.23699493991830189</v>
      </c>
    </row>
    <row r="15" spans="1:14" x14ac:dyDescent="0.3">
      <c r="B15" t="s">
        <v>102</v>
      </c>
      <c r="C15" s="44">
        <f>IFERROR(SUM('Data Sheet'!B23:B24),0)</f>
        <v>5271</v>
      </c>
      <c r="D15" s="44">
        <f>IFERROR(SUM('Data Sheet'!C23:C24),0)</f>
        <v>5305</v>
      </c>
      <c r="E15" s="44">
        <f>IFERROR(SUM('Data Sheet'!D23:D24),0)</f>
        <v>7059</v>
      </c>
      <c r="F15" s="44">
        <f>IFERROR(SUM('Data Sheet'!E23:E24),0)</f>
        <v>6314</v>
      </c>
      <c r="G15" s="44">
        <f>IFERROR(SUM('Data Sheet'!F23:F24),0)</f>
        <v>4093</v>
      </c>
      <c r="H15" s="44">
        <f>IFERROR(SUM('Data Sheet'!G23:G24),0)</f>
        <v>5331</v>
      </c>
      <c r="I15" s="44">
        <f>IFERROR(SUM('Data Sheet'!H23:H24),0)</f>
        <v>6757</v>
      </c>
      <c r="J15" s="44">
        <f>IFERROR(SUM('Data Sheet'!I23:I24),0)</f>
        <v>7215</v>
      </c>
      <c r="K15" s="44">
        <f>IFERROR(SUM('Data Sheet'!J23:J24),0)</f>
        <v>7169</v>
      </c>
      <c r="L15" s="44">
        <f>IFERROR(SUM('Data Sheet'!K23:K24),0)</f>
        <v>8113</v>
      </c>
      <c r="M15" s="44">
        <f>IFERROR(SUM('Data Sheet'!L23:L24),0)</f>
        <v>0</v>
      </c>
    </row>
    <row r="16" spans="1:14" x14ac:dyDescent="0.3">
      <c r="B16" s="30" t="s">
        <v>103</v>
      </c>
      <c r="C16" s="31">
        <f>IFERROR(C15/C6,0)</f>
        <v>7.6966882775538814E-2</v>
      </c>
      <c r="D16" s="31">
        <f t="shared" ref="D16:M16" si="4">IFERROR(D15/D6,0)</f>
        <v>7.5224752559484978E-2</v>
      </c>
      <c r="E16" s="31">
        <f t="shared" si="4"/>
        <v>8.5382521923193233E-2</v>
      </c>
      <c r="F16" s="31">
        <f t="shared" si="4"/>
        <v>6.9544338095185648E-2</v>
      </c>
      <c r="G16" s="31">
        <f t="shared" si="4"/>
        <v>4.0737717971176049E-2</v>
      </c>
      <c r="H16" s="31">
        <f t="shared" si="4"/>
        <v>4.3825683774385282E-2</v>
      </c>
      <c r="I16" s="31">
        <f t="shared" si="4"/>
        <v>4.6038959711651804E-2</v>
      </c>
      <c r="J16" s="31">
        <f t="shared" si="4"/>
        <v>4.6951259191774584E-2</v>
      </c>
      <c r="K16" s="31">
        <f t="shared" si="4"/>
        <v>4.3984293514939564E-2</v>
      </c>
      <c r="L16" s="31">
        <f t="shared" si="4"/>
        <v>4.5412818359921635E-2</v>
      </c>
      <c r="M16" s="31">
        <f t="shared" si="4"/>
        <v>0</v>
      </c>
    </row>
    <row r="18" spans="2:13" x14ac:dyDescent="0.3">
      <c r="B18" s="45" t="s">
        <v>104</v>
      </c>
      <c r="C18" s="46">
        <f>C12-C15</f>
        <v>18604</v>
      </c>
      <c r="D18" s="46">
        <f t="shared" ref="D18:L18" si="5">D12-D15</f>
        <v>18822</v>
      </c>
      <c r="E18" s="46">
        <f t="shared" si="5"/>
        <v>20170</v>
      </c>
      <c r="F18" s="46">
        <f t="shared" si="5"/>
        <v>22267</v>
      </c>
      <c r="G18" s="46">
        <f t="shared" si="5"/>
        <v>27889</v>
      </c>
      <c r="H18" s="46">
        <f t="shared" si="5"/>
        <v>31491</v>
      </c>
      <c r="I18" s="46">
        <f t="shared" si="5"/>
        <v>35130</v>
      </c>
      <c r="J18" s="46">
        <f t="shared" si="5"/>
        <v>36425</v>
      </c>
      <c r="K18" s="46">
        <f t="shared" si="5"/>
        <v>39236</v>
      </c>
      <c r="L18" s="46">
        <f t="shared" si="5"/>
        <v>42280</v>
      </c>
      <c r="M18" s="46">
        <f>M12-M15</f>
        <v>43745</v>
      </c>
    </row>
    <row r="19" spans="2:13" x14ac:dyDescent="0.3">
      <c r="B19" s="30" t="s">
        <v>105</v>
      </c>
      <c r="C19" s="31">
        <f>IFERROR(C18/C6,0)</f>
        <v>0.27165469306699375</v>
      </c>
      <c r="D19" s="31">
        <f t="shared" ref="D19:M19" si="6">IFERROR(D18/D6,0)</f>
        <v>0.26689543688494372</v>
      </c>
      <c r="E19" s="31">
        <f t="shared" si="6"/>
        <v>0.24396734200181433</v>
      </c>
      <c r="F19" s="31">
        <f t="shared" si="6"/>
        <v>0.24525558700752279</v>
      </c>
      <c r="G19" s="31">
        <f t="shared" si="6"/>
        <v>0.27757982323433394</v>
      </c>
      <c r="H19" s="31">
        <f t="shared" si="6"/>
        <v>0.25888475102966929</v>
      </c>
      <c r="I19" s="31">
        <f t="shared" si="6"/>
        <v>0.23935898396778568</v>
      </c>
      <c r="J19" s="31">
        <f t="shared" si="6"/>
        <v>0.23703390381987374</v>
      </c>
      <c r="K19" s="31">
        <f t="shared" si="6"/>
        <v>0.24072642493404503</v>
      </c>
      <c r="L19" s="31">
        <f t="shared" si="6"/>
        <v>0.23666386789812482</v>
      </c>
      <c r="M19" s="31">
        <f t="shared" si="6"/>
        <v>0.23699493991830189</v>
      </c>
    </row>
    <row r="21" spans="2:13" x14ac:dyDescent="0.3">
      <c r="B21" t="s">
        <v>106</v>
      </c>
      <c r="C21" s="44">
        <f>IFERROR(SUM('Data Sheet'!B27),0)</f>
        <v>0</v>
      </c>
      <c r="D21" s="44">
        <f>IFERROR(SUM('Data Sheet'!C27),0)</f>
        <v>0</v>
      </c>
      <c r="E21" s="44">
        <f>IFERROR(SUM('Data Sheet'!D27),0)</f>
        <v>0</v>
      </c>
      <c r="F21" s="44">
        <f>IFERROR(SUM('Data Sheet'!E27),0)</f>
        <v>170</v>
      </c>
      <c r="G21" s="44">
        <f>IFERROR(SUM('Data Sheet'!F27),0)</f>
        <v>195</v>
      </c>
      <c r="H21" s="44">
        <f>IFERROR(SUM('Data Sheet'!G27),0)</f>
        <v>200</v>
      </c>
      <c r="I21" s="44">
        <f>IFERROR(SUM('Data Sheet'!H27),0)</f>
        <v>284</v>
      </c>
      <c r="J21" s="44">
        <f>IFERROR(SUM('Data Sheet'!I27),0)</f>
        <v>470</v>
      </c>
      <c r="K21" s="44">
        <f>IFERROR(SUM('Data Sheet'!J27),0)</f>
        <v>416</v>
      </c>
      <c r="L21" s="44">
        <f>IFERROR(SUM('Data Sheet'!K27),0)</f>
        <v>416</v>
      </c>
      <c r="M21" s="44">
        <f>IFERROR(SUM('Data Sheet'!H46:K46),0)</f>
        <v>430</v>
      </c>
    </row>
    <row r="22" spans="2:13" x14ac:dyDescent="0.3">
      <c r="B22" s="30" t="s">
        <v>107</v>
      </c>
      <c r="C22" s="31">
        <f>IFERROR(C21/C6,0)</f>
        <v>0</v>
      </c>
      <c r="D22" s="31">
        <f t="shared" ref="D22:M22" si="7">IFERROR(D21/D6,0)</f>
        <v>0</v>
      </c>
      <c r="E22" s="31">
        <f t="shared" si="7"/>
        <v>0</v>
      </c>
      <c r="F22" s="31">
        <f t="shared" si="7"/>
        <v>1.8724322895441179E-3</v>
      </c>
      <c r="G22" s="31">
        <f t="shared" si="7"/>
        <v>1.9408392387928975E-3</v>
      </c>
      <c r="H22" s="31">
        <f t="shared" si="7"/>
        <v>1.6441824713706726E-3</v>
      </c>
      <c r="I22" s="31">
        <f t="shared" si="7"/>
        <v>1.9350398931639945E-3</v>
      </c>
      <c r="J22" s="31">
        <f t="shared" si="7"/>
        <v>3.0585019847725646E-3</v>
      </c>
      <c r="K22" s="31">
        <f t="shared" si="7"/>
        <v>2.5523038223203877E-3</v>
      </c>
      <c r="L22" s="31">
        <f t="shared" si="7"/>
        <v>2.3285754268122026E-3</v>
      </c>
      <c r="M22" s="31">
        <f t="shared" si="7"/>
        <v>2.3295879338180322E-3</v>
      </c>
    </row>
    <row r="24" spans="2:13" x14ac:dyDescent="0.3">
      <c r="B24" t="s">
        <v>108</v>
      </c>
      <c r="C24" s="44">
        <f>IFERROR('Data Sheet'!B26,0)</f>
        <v>1703</v>
      </c>
      <c r="D24" s="44">
        <f>IFERROR('Data Sheet'!C26,0)</f>
        <v>1863</v>
      </c>
      <c r="E24" s="44">
        <f>IFERROR('Data Sheet'!D26,0)</f>
        <v>2011</v>
      </c>
      <c r="F24" s="44">
        <f>IFERROR('Data Sheet'!E26,0)</f>
        <v>2893</v>
      </c>
      <c r="G24" s="44">
        <f>IFERROR('Data Sheet'!F26,0)</f>
        <v>3267</v>
      </c>
      <c r="H24" s="44">
        <f>IFERROR('Data Sheet'!G26,0)</f>
        <v>3476</v>
      </c>
      <c r="I24" s="44">
        <f>IFERROR('Data Sheet'!H26,0)</f>
        <v>4225</v>
      </c>
      <c r="J24" s="44">
        <f>IFERROR('Data Sheet'!I26,0)</f>
        <v>4678</v>
      </c>
      <c r="K24" s="44">
        <f>IFERROR('Data Sheet'!J26,0)</f>
        <v>4812</v>
      </c>
      <c r="L24" s="44">
        <f>IFERROR('Data Sheet'!K26,0)</f>
        <v>4902</v>
      </c>
      <c r="M24" s="44">
        <f>IFERROR(SUM('Data Sheet'!H45:K45),0)</f>
        <v>5007</v>
      </c>
    </row>
    <row r="25" spans="2:13" x14ac:dyDescent="0.3">
      <c r="B25" s="30" t="s">
        <v>109</v>
      </c>
      <c r="C25" s="31">
        <f>IFERROR(C24/C6,0)</f>
        <v>2.4867122247532271E-2</v>
      </c>
      <c r="D25" s="31">
        <f t="shared" ref="D25:M25" si="8">IFERROR(D24/D6,0)</f>
        <v>2.6417288222115084E-2</v>
      </c>
      <c r="E25" s="31">
        <f t="shared" si="8"/>
        <v>2.4324160870879952E-2</v>
      </c>
      <c r="F25" s="31">
        <f t="shared" si="8"/>
        <v>3.1864391845006661E-2</v>
      </c>
      <c r="G25" s="31">
        <f t="shared" si="8"/>
        <v>3.2516522016084085E-2</v>
      </c>
      <c r="H25" s="31">
        <f t="shared" si="8"/>
        <v>2.8575891352422292E-2</v>
      </c>
      <c r="I25" s="31">
        <f t="shared" si="8"/>
        <v>2.8787125171189708E-2</v>
      </c>
      <c r="J25" s="31">
        <f t="shared" si="8"/>
        <v>3.0441855925034164E-2</v>
      </c>
      <c r="K25" s="31">
        <f t="shared" si="8"/>
        <v>2.9523283637032948E-2</v>
      </c>
      <c r="L25" s="31">
        <f t="shared" si="8"/>
        <v>2.7439126784214944E-2</v>
      </c>
      <c r="M25" s="31">
        <f t="shared" si="8"/>
        <v>2.7126155313085782E-2</v>
      </c>
    </row>
    <row r="26" spans="2:13" x14ac:dyDescent="0.3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</row>
    <row r="27" spans="2:13" x14ac:dyDescent="0.3">
      <c r="B27" s="23" t="s">
        <v>156</v>
      </c>
      <c r="C27" s="44">
        <f>IFERROR('Data Sheet'!B25,0)</f>
        <v>3050</v>
      </c>
      <c r="D27" s="44">
        <f>IFERROR('Data Sheet'!C25,0)</f>
        <v>3311</v>
      </c>
      <c r="E27" s="44">
        <f>IFERROR('Data Sheet'!D25,0)</f>
        <v>2882</v>
      </c>
      <c r="F27" s="44">
        <f>IFERROR('Data Sheet'!E25,0)</f>
        <v>2803</v>
      </c>
      <c r="G27" s="44">
        <f>IFERROR('Data Sheet'!F25,0)</f>
        <v>2201</v>
      </c>
      <c r="H27" s="44">
        <f>IFERROR('Data Sheet'!G25,0)</f>
        <v>2295</v>
      </c>
      <c r="I27" s="44">
        <f>IFERROR('Data Sheet'!H25,0)</f>
        <v>2701</v>
      </c>
      <c r="J27" s="44">
        <f>IFERROR('Data Sheet'!I25,0)</f>
        <v>4711</v>
      </c>
      <c r="K27" s="44">
        <f>IFERROR('Data Sheet'!J25,0)</f>
        <v>3600</v>
      </c>
      <c r="L27" s="44">
        <f>IFERROR('Data Sheet'!K25,0)</f>
        <v>3033</v>
      </c>
      <c r="M27" s="44">
        <f>IFERROR('Data Sheet'!L25,0)</f>
        <v>0</v>
      </c>
    </row>
    <row r="29" spans="2:13" x14ac:dyDescent="0.3">
      <c r="B29" s="45" t="s">
        <v>110</v>
      </c>
      <c r="C29" s="46">
        <f>SUM(C18,C27)-SUM(C21,C24)</f>
        <v>19951</v>
      </c>
      <c r="D29" s="46">
        <f t="shared" ref="D29:M29" si="9">SUM(D18,D27)-SUM(D21,D24)</f>
        <v>20270</v>
      </c>
      <c r="E29" s="46">
        <f t="shared" si="9"/>
        <v>21041</v>
      </c>
      <c r="F29" s="46">
        <f t="shared" si="9"/>
        <v>22007</v>
      </c>
      <c r="G29" s="46">
        <f t="shared" si="9"/>
        <v>26628</v>
      </c>
      <c r="H29" s="46">
        <f t="shared" si="9"/>
        <v>30110</v>
      </c>
      <c r="I29" s="46">
        <f t="shared" si="9"/>
        <v>33322</v>
      </c>
      <c r="J29" s="46">
        <f t="shared" si="9"/>
        <v>35988</v>
      </c>
      <c r="K29" s="46">
        <f t="shared" si="9"/>
        <v>37608</v>
      </c>
      <c r="L29" s="46">
        <f t="shared" si="9"/>
        <v>39995</v>
      </c>
      <c r="M29" s="46">
        <f t="shared" si="9"/>
        <v>38308</v>
      </c>
    </row>
    <row r="30" spans="2:13" x14ac:dyDescent="0.3">
      <c r="B30" s="30" t="s">
        <v>111</v>
      </c>
      <c r="C30" s="31">
        <f>IFERROR(C29/C6,0)</f>
        <v>0.29132352082238189</v>
      </c>
      <c r="D30" s="31">
        <f t="shared" ref="D30:M30" si="10">IFERROR(D29/D6,0)</f>
        <v>0.28742803664104816</v>
      </c>
      <c r="E30" s="31">
        <f t="shared" si="10"/>
        <v>0.25450257030541273</v>
      </c>
      <c r="F30" s="31">
        <f t="shared" si="10"/>
        <v>0.24239186703527882</v>
      </c>
      <c r="G30" s="31">
        <f t="shared" si="10"/>
        <v>0.26502906282347322</v>
      </c>
      <c r="H30" s="31">
        <f t="shared" si="10"/>
        <v>0.24753167106485477</v>
      </c>
      <c r="I30" s="31">
        <f t="shared" si="10"/>
        <v>0.22704013845074164</v>
      </c>
      <c r="J30" s="31">
        <f t="shared" si="10"/>
        <v>0.2341901477191384</v>
      </c>
      <c r="K30" s="31">
        <f t="shared" si="10"/>
        <v>0.23073808209092583</v>
      </c>
      <c r="L30" s="31">
        <f t="shared" si="10"/>
        <v>0.22387349566190876</v>
      </c>
      <c r="M30" s="31">
        <f t="shared" si="10"/>
        <v>0.20753919667139809</v>
      </c>
    </row>
    <row r="32" spans="2:13" x14ac:dyDescent="0.3">
      <c r="B32" t="s">
        <v>112</v>
      </c>
      <c r="C32" s="44">
        <f>IFERROR('Data Sheet'!B29,0)</f>
        <v>5598</v>
      </c>
      <c r="D32" s="44">
        <f>IFERROR('Data Sheet'!C29,0)</f>
        <v>4241</v>
      </c>
      <c r="E32" s="44">
        <f>IFERROR('Data Sheet'!D29,0)</f>
        <v>5631</v>
      </c>
      <c r="F32" s="44">
        <f>IFERROR('Data Sheet'!E29,0)</f>
        <v>5368</v>
      </c>
      <c r="G32" s="44">
        <f>IFERROR('Data Sheet'!F29,0)</f>
        <v>7205</v>
      </c>
      <c r="H32" s="44">
        <f>IFERROR('Data Sheet'!G29,0)</f>
        <v>7964</v>
      </c>
      <c r="I32" s="44">
        <f>IFERROR('Data Sheet'!H29,0)</f>
        <v>9214</v>
      </c>
      <c r="J32" s="44">
        <f>IFERROR('Data Sheet'!I29,0)</f>
        <v>9740</v>
      </c>
      <c r="K32" s="44">
        <f>IFERROR('Data Sheet'!J29,0)</f>
        <v>10858</v>
      </c>
      <c r="L32" s="44">
        <f>IFERROR('Data Sheet'!K29,0)</f>
        <v>10521</v>
      </c>
      <c r="M32" s="44">
        <f>IFERROR(SUM('Data Sheet'!H48:K48),0)</f>
        <v>10958</v>
      </c>
    </row>
    <row r="33" spans="1:13" x14ac:dyDescent="0.3">
      <c r="B33" s="30" t="s">
        <v>113</v>
      </c>
      <c r="C33" s="31">
        <f>IFERROR(C32/C29,0)</f>
        <v>0.28058743922610396</v>
      </c>
      <c r="D33" s="31">
        <f t="shared" ref="D33:M33" si="11">IFERROR(D32/D29,0)</f>
        <v>0.20922545633941786</v>
      </c>
      <c r="E33" s="31">
        <f t="shared" si="11"/>
        <v>0.26762036024903757</v>
      </c>
      <c r="F33" s="31">
        <f t="shared" si="11"/>
        <v>0.24392238833098559</v>
      </c>
      <c r="G33" s="31">
        <f t="shared" si="11"/>
        <v>0.27057984076911523</v>
      </c>
      <c r="H33" s="31">
        <f t="shared" si="11"/>
        <v>0.26449684490202591</v>
      </c>
      <c r="I33" s="31">
        <f t="shared" si="11"/>
        <v>0.27651401476502013</v>
      </c>
      <c r="J33" s="31">
        <f t="shared" si="11"/>
        <v>0.27064577081249308</v>
      </c>
      <c r="K33" s="31">
        <f t="shared" si="11"/>
        <v>0.28871516698574773</v>
      </c>
      <c r="L33" s="31">
        <f t="shared" si="11"/>
        <v>0.26305788223527943</v>
      </c>
      <c r="M33" s="31">
        <f t="shared" si="11"/>
        <v>0.28604991124569279</v>
      </c>
    </row>
    <row r="35" spans="1:13" x14ac:dyDescent="0.3">
      <c r="B35" s="45" t="s">
        <v>114</v>
      </c>
      <c r="C35" s="46">
        <f>IFERROR(C29-C32,0)</f>
        <v>14353</v>
      </c>
      <c r="D35" s="46">
        <f>IFERROR(D29-D32,0)</f>
        <v>16029</v>
      </c>
      <c r="E35" s="46">
        <f>IFERROR(E29-E32,0)</f>
        <v>15410</v>
      </c>
      <c r="F35" s="46">
        <f t="shared" ref="F35:M35" si="12">IFERROR(F29-F32,0)</f>
        <v>16639</v>
      </c>
      <c r="G35" s="46">
        <f t="shared" si="12"/>
        <v>19423</v>
      </c>
      <c r="H35" s="46">
        <f t="shared" si="12"/>
        <v>22146</v>
      </c>
      <c r="I35" s="46">
        <f t="shared" si="12"/>
        <v>24108</v>
      </c>
      <c r="J35" s="46">
        <f t="shared" si="12"/>
        <v>26248</v>
      </c>
      <c r="K35" s="46">
        <f t="shared" si="12"/>
        <v>26750</v>
      </c>
      <c r="L35" s="46">
        <f t="shared" si="12"/>
        <v>29474</v>
      </c>
      <c r="M35" s="46">
        <f t="shared" si="12"/>
        <v>27350</v>
      </c>
    </row>
    <row r="36" spans="1:13" x14ac:dyDescent="0.3">
      <c r="B36" s="30" t="s">
        <v>115</v>
      </c>
      <c r="C36" s="31">
        <f>IFERROR(C35/C6,0)</f>
        <v>0.20958180012849717</v>
      </c>
      <c r="D36" s="31">
        <f t="shared" ref="D36:M36" si="13">IFERROR(D35/D6,0)</f>
        <v>0.22729077451008195</v>
      </c>
      <c r="E36" s="31">
        <f t="shared" si="13"/>
        <v>0.18639250075597219</v>
      </c>
      <c r="F36" s="31">
        <f t="shared" si="13"/>
        <v>0.18326706391602693</v>
      </c>
      <c r="G36" s="31">
        <f t="shared" si="13"/>
        <v>0.19331754120550998</v>
      </c>
      <c r="H36" s="31">
        <f t="shared" si="13"/>
        <v>0.1820603250548746</v>
      </c>
      <c r="I36" s="31">
        <f t="shared" si="13"/>
        <v>0.16426035825492105</v>
      </c>
      <c r="J36" s="31">
        <f t="shared" si="13"/>
        <v>0.17080757467300059</v>
      </c>
      <c r="K36" s="31">
        <f t="shared" si="13"/>
        <v>0.16412049819007302</v>
      </c>
      <c r="L36" s="31">
        <f t="shared" si="13"/>
        <v>0.16498180800447804</v>
      </c>
      <c r="M36" s="31">
        <f t="shared" si="13"/>
        <v>0.14817262788354227</v>
      </c>
    </row>
    <row r="38" spans="1:13" x14ac:dyDescent="0.3">
      <c r="B38" t="s">
        <v>116</v>
      </c>
      <c r="C38" s="39">
        <f>IFERROR('Data Sheet'!B93,0)</f>
        <v>459.39</v>
      </c>
      <c r="D38" s="39">
        <f>IFERROR('Data Sheet'!C93,0)</f>
        <v>436.82</v>
      </c>
      <c r="E38" s="39">
        <f>IFERROR('Data Sheet'!D93,0)</f>
        <v>436.89</v>
      </c>
      <c r="F38" s="39">
        <f>IFERROR('Data Sheet'!E93,0)</f>
        <v>425.9</v>
      </c>
      <c r="G38" s="39">
        <f>IFERROR('Data Sheet'!F93,0)</f>
        <v>426.07</v>
      </c>
      <c r="H38" s="39">
        <f>IFERROR('Data Sheet'!G93,0)</f>
        <v>420.67</v>
      </c>
      <c r="I38" s="39">
        <f>IFERROR('Data Sheet'!H93,0)</f>
        <v>414.86</v>
      </c>
      <c r="J38" s="39">
        <f>IFERROR('Data Sheet'!I93,0)</f>
        <v>415.09</v>
      </c>
      <c r="K38" s="39">
        <f>IFERROR('Data Sheet'!J93,0)</f>
        <v>415.33</v>
      </c>
      <c r="L38" s="39">
        <f>IFERROR('Data Sheet'!K93,0)</f>
        <v>405.56</v>
      </c>
      <c r="M38" s="39">
        <f>IFERROR('Data Sheet'!L93,0)</f>
        <v>0</v>
      </c>
    </row>
    <row r="39" spans="1:13" x14ac:dyDescent="0.3"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spans="1:13" x14ac:dyDescent="0.3">
      <c r="B40" t="s">
        <v>117</v>
      </c>
      <c r="C40" s="44">
        <f>IFERROR(C35/C38,0)</f>
        <v>31.243605650971944</v>
      </c>
      <c r="D40" s="44">
        <f t="shared" ref="D40:M40" si="14">IFERROR(D35/D38,0)</f>
        <v>36.694748408955633</v>
      </c>
      <c r="E40" s="44">
        <f t="shared" si="14"/>
        <v>35.272036439378333</v>
      </c>
      <c r="F40" s="44">
        <f t="shared" si="14"/>
        <v>39.067856304296782</v>
      </c>
      <c r="G40" s="44">
        <f t="shared" si="14"/>
        <v>45.586405989626115</v>
      </c>
      <c r="H40" s="44">
        <f t="shared" si="14"/>
        <v>52.644590771863932</v>
      </c>
      <c r="I40" s="44">
        <f t="shared" si="14"/>
        <v>58.11117003326423</v>
      </c>
      <c r="J40" s="44">
        <f t="shared" si="14"/>
        <v>63.234479269556005</v>
      </c>
      <c r="K40" s="44">
        <f t="shared" si="14"/>
        <v>64.406616425492984</v>
      </c>
      <c r="L40" s="44">
        <f t="shared" si="14"/>
        <v>72.674820001972577</v>
      </c>
      <c r="M40" s="44">
        <f t="shared" si="14"/>
        <v>0</v>
      </c>
    </row>
    <row r="41" spans="1:13" x14ac:dyDescent="0.3">
      <c r="B41" s="30" t="s">
        <v>119</v>
      </c>
      <c r="C41" s="31"/>
      <c r="D41" s="31">
        <f>IFERROR(D40/C40-1,0)</f>
        <v>0.17447226862608001</v>
      </c>
      <c r="E41" s="31">
        <f t="shared" ref="E41:L41" si="15">IFERROR(E40/D40-1,0)</f>
        <v>-3.8771541740018511E-2</v>
      </c>
      <c r="F41" s="31">
        <f t="shared" si="15"/>
        <v>0.10761555748113061</v>
      </c>
      <c r="G41" s="31">
        <f>IFERROR(G40/F40-1,0)</f>
        <v>0.16685199296723141</v>
      </c>
      <c r="H41" s="31">
        <f t="shared" si="15"/>
        <v>0.15483091129939086</v>
      </c>
      <c r="I41" s="31">
        <f t="shared" si="15"/>
        <v>0.10383933432192105</v>
      </c>
      <c r="J41" s="31">
        <f t="shared" si="15"/>
        <v>8.8163931880205881E-2</v>
      </c>
      <c r="K41" s="31">
        <f t="shared" si="15"/>
        <v>1.8536361324972717E-2</v>
      </c>
      <c r="L41" s="31">
        <f t="shared" si="15"/>
        <v>0.12837506509978569</v>
      </c>
      <c r="M41" s="31">
        <f>IFERROR(M40/L40-1,0)</f>
        <v>-1</v>
      </c>
    </row>
    <row r="43" spans="1:13" x14ac:dyDescent="0.3">
      <c r="B43" t="s">
        <v>118</v>
      </c>
      <c r="C43" s="44">
        <f>IFERROR('Data Sheet'!B31/'Historical FS'!C38,0)</f>
        <v>12.824832930625396</v>
      </c>
      <c r="D43" s="44">
        <f>IFERROR('Data Sheet'!C31/'Historical FS'!D38,0)</f>
        <v>21.669337484547412</v>
      </c>
      <c r="E43" s="44">
        <f>IFERROR('Data Sheet'!D31/'Historical FS'!E38,0)</f>
        <v>21.109432580283368</v>
      </c>
      <c r="F43" s="44">
        <f>IFERROR('Data Sheet'!E31/'Historical FS'!F38,0)</f>
        <v>17.438365813571263</v>
      </c>
      <c r="G43" s="44">
        <f>IFERROR('Data Sheet'!F31/'Historical FS'!G38,0)</f>
        <v>26.919520266622857</v>
      </c>
      <c r="H43" s="44">
        <f>IFERROR('Data Sheet'!G31/'Historical FS'!H38,0)</f>
        <v>30.921149594694178</v>
      </c>
      <c r="I43" s="44">
        <f>IFERROR('Data Sheet'!H31/'Historical FS'!I38,0)</f>
        <v>33.913127320059779</v>
      </c>
      <c r="J43" s="44">
        <f>IFERROR('Data Sheet'!I31/'Historical FS'!J38,0)</f>
        <v>45.901370787058234</v>
      </c>
      <c r="K43" s="44">
        <f>IFERROR('Data Sheet'!J31/'Historical FS'!K38,0)</f>
        <v>42.924421544314157</v>
      </c>
      <c r="L43" s="44">
        <f>IFERROR('Data Sheet'!K31/'Historical FS'!L38,0)</f>
        <v>47.910050300818625</v>
      </c>
      <c r="M43" s="44">
        <f>IFERROR('Data Sheet'!L31/'Historical FS'!M38,0)</f>
        <v>0</v>
      </c>
    </row>
    <row r="44" spans="1:13" x14ac:dyDescent="0.3">
      <c r="B44" s="31" t="s">
        <v>120</v>
      </c>
      <c r="C44" s="31">
        <f>IFERROR(C43/C40,0)</f>
        <v>0.4104786455793214</v>
      </c>
      <c r="D44" s="31">
        <f t="shared" ref="D44:M44" si="16">IFERROR(D43/D40,0)</f>
        <v>0.59052966498221982</v>
      </c>
      <c r="E44" s="31">
        <f t="shared" si="16"/>
        <v>0.59847501622323174</v>
      </c>
      <c r="F44" s="31">
        <f t="shared" si="16"/>
        <v>0.44636095919225921</v>
      </c>
      <c r="G44" s="31">
        <f t="shared" si="16"/>
        <v>0.59051639808474499</v>
      </c>
      <c r="H44" s="31">
        <f t="shared" si="16"/>
        <v>0.58735663325205456</v>
      </c>
      <c r="I44" s="31">
        <f t="shared" si="16"/>
        <v>0.58359050937448154</v>
      </c>
      <c r="J44" s="31">
        <f t="shared" si="16"/>
        <v>0.72589149649497109</v>
      </c>
      <c r="K44" s="31">
        <f t="shared" si="16"/>
        <v>0.66645981308411206</v>
      </c>
      <c r="L44" s="31">
        <f t="shared" si="16"/>
        <v>0.65923865101445356</v>
      </c>
      <c r="M44" s="31">
        <f t="shared" si="16"/>
        <v>0</v>
      </c>
    </row>
    <row r="45" spans="1:13" x14ac:dyDescent="0.3"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3" x14ac:dyDescent="0.3">
      <c r="B46" s="40" t="s">
        <v>121</v>
      </c>
      <c r="C46" s="40">
        <f>IFERROR(IF(C40&gt;C43,1-C44,0),0)</f>
        <v>0.58952135442067854</v>
      </c>
      <c r="D46" s="40">
        <f t="shared" ref="D46:M46" si="17">IFERROR(IF(D40&gt;D43,1-D44,0),0)</f>
        <v>0.40947033501778018</v>
      </c>
      <c r="E46" s="40">
        <f t="shared" si="17"/>
        <v>0.40152498377676826</v>
      </c>
      <c r="F46" s="40">
        <f t="shared" si="17"/>
        <v>0.55363904080774073</v>
      </c>
      <c r="G46" s="40">
        <f t="shared" si="17"/>
        <v>0.40948360191525501</v>
      </c>
      <c r="H46" s="40">
        <f t="shared" si="17"/>
        <v>0.41264336674794544</v>
      </c>
      <c r="I46" s="40">
        <f t="shared" si="17"/>
        <v>0.41640949062551846</v>
      </c>
      <c r="J46" s="40">
        <f t="shared" si="17"/>
        <v>0.27410850350502891</v>
      </c>
      <c r="K46" s="40">
        <f t="shared" si="17"/>
        <v>0.33354018691588794</v>
      </c>
      <c r="L46" s="40">
        <f t="shared" si="17"/>
        <v>0.34076134898554644</v>
      </c>
      <c r="M46" s="40">
        <f t="shared" si="17"/>
        <v>0</v>
      </c>
    </row>
    <row r="48" spans="1:13" x14ac:dyDescent="0.3">
      <c r="A48" t="s">
        <v>96</v>
      </c>
      <c r="B48" s="37" t="s">
        <v>122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2:12" x14ac:dyDescent="0.3">
      <c r="B49" s="6" t="s">
        <v>24</v>
      </c>
      <c r="C49" s="44">
        <f>IFERROR('Data Sheet'!B57,0)</f>
        <v>1144</v>
      </c>
      <c r="D49" s="44">
        <f>IFERROR('Data Sheet'!C57,0)</f>
        <v>1088</v>
      </c>
      <c r="E49" s="44">
        <f>IFERROR('Data Sheet'!D57,0)</f>
        <v>2170</v>
      </c>
      <c r="F49" s="44">
        <f>IFERROR('Data Sheet'!E57,0)</f>
        <v>2122</v>
      </c>
      <c r="G49" s="44">
        <f>IFERROR('Data Sheet'!F57,0)</f>
        <v>2124</v>
      </c>
      <c r="H49" s="44">
        <f>IFERROR('Data Sheet'!G57,0)</f>
        <v>2098</v>
      </c>
      <c r="I49" s="44">
        <f>IFERROR('Data Sheet'!H57,0)</f>
        <v>2069</v>
      </c>
      <c r="J49" s="44">
        <f>IFERROR('Data Sheet'!I57,0)</f>
        <v>2071</v>
      </c>
      <c r="K49" s="44">
        <f>IFERROR('Data Sheet'!J57,0)</f>
        <v>2073</v>
      </c>
      <c r="L49" s="44">
        <f>IFERROR('Data Sheet'!K57,0)</f>
        <v>2024</v>
      </c>
    </row>
    <row r="50" spans="2:12" x14ac:dyDescent="0.3">
      <c r="B50" s="6" t="s">
        <v>25</v>
      </c>
      <c r="C50" s="44">
        <f>IFERROR('Data Sheet'!B58,0)</f>
        <v>67838</v>
      </c>
      <c r="D50" s="44">
        <f>IFERROR('Data Sheet'!C58,0)</f>
        <v>63835</v>
      </c>
      <c r="E50" s="44">
        <f>IFERROR('Data Sheet'!D58,0)</f>
        <v>62778</v>
      </c>
      <c r="F50" s="44">
        <f>IFERROR('Data Sheet'!E58,0)</f>
        <v>63328</v>
      </c>
      <c r="G50" s="44">
        <f>IFERROR('Data Sheet'!F58,0)</f>
        <v>74227</v>
      </c>
      <c r="H50" s="44">
        <f>IFERROR('Data Sheet'!G58,0)</f>
        <v>73252</v>
      </c>
      <c r="I50" s="44">
        <f>IFERROR('Data Sheet'!H58,0)</f>
        <v>73338</v>
      </c>
      <c r="J50" s="44">
        <f>IFERROR('Data Sheet'!I58,0)</f>
        <v>86045</v>
      </c>
      <c r="K50" s="44">
        <f>IFERROR('Data Sheet'!J58,0)</f>
        <v>93745</v>
      </c>
      <c r="L50" s="44">
        <f>IFERROR('Data Sheet'!K58,0)</f>
        <v>90828</v>
      </c>
    </row>
    <row r="51" spans="2:12" x14ac:dyDescent="0.3">
      <c r="B51" s="6" t="s">
        <v>71</v>
      </c>
      <c r="C51" s="44">
        <f>IFERROR('Data Sheet'!B59,0)</f>
        <v>0</v>
      </c>
      <c r="D51" s="44">
        <f>IFERROR('Data Sheet'!C59,0)</f>
        <v>0</v>
      </c>
      <c r="E51" s="44">
        <f>IFERROR('Data Sheet'!D59,0)</f>
        <v>0</v>
      </c>
      <c r="F51" s="44">
        <f>IFERROR('Data Sheet'!E59,0)</f>
        <v>4633</v>
      </c>
      <c r="G51" s="44">
        <f>IFERROR('Data Sheet'!F59,0)</f>
        <v>5325</v>
      </c>
      <c r="H51" s="44">
        <f>IFERROR('Data Sheet'!G59,0)</f>
        <v>5474</v>
      </c>
      <c r="I51" s="44">
        <f>IFERROR('Data Sheet'!H59,0)</f>
        <v>8299</v>
      </c>
      <c r="J51" s="44">
        <f>IFERROR('Data Sheet'!I59,0)</f>
        <v>8359</v>
      </c>
      <c r="K51" s="44">
        <f>IFERROR('Data Sheet'!J59,0)</f>
        <v>8227</v>
      </c>
      <c r="L51" s="44">
        <f>IFERROR('Data Sheet'!K59,0)</f>
        <v>9176</v>
      </c>
    </row>
    <row r="52" spans="2:12" x14ac:dyDescent="0.3">
      <c r="B52" s="6" t="s">
        <v>72</v>
      </c>
      <c r="C52" s="44">
        <f>IFERROR('Data Sheet'!B60,0)</f>
        <v>14166</v>
      </c>
      <c r="D52" s="44">
        <f>IFERROR('Data Sheet'!C60,0)</f>
        <v>14426</v>
      </c>
      <c r="E52" s="44">
        <f>IFERROR('Data Sheet'!D60,0)</f>
        <v>19118</v>
      </c>
      <c r="F52" s="44">
        <f>IFERROR('Data Sheet'!E60,0)</f>
        <v>21717</v>
      </c>
      <c r="G52" s="44">
        <f>IFERROR('Data Sheet'!F60,0)</f>
        <v>25835</v>
      </c>
      <c r="H52" s="44">
        <f>IFERROR('Data Sheet'!G60,0)</f>
        <v>35905</v>
      </c>
      <c r="I52" s="44">
        <f>IFERROR('Data Sheet'!H60,0)</f>
        <v>40890</v>
      </c>
      <c r="J52" s="44">
        <f>IFERROR('Data Sheet'!I60,0)</f>
        <v>39545</v>
      </c>
      <c r="K52" s="44">
        <f>IFERROR('Data Sheet'!J60,0)</f>
        <v>43750</v>
      </c>
      <c r="L52" s="44">
        <f>IFERROR('Data Sheet'!K60,0)</f>
        <v>52260</v>
      </c>
    </row>
    <row r="53" spans="2:12" x14ac:dyDescent="0.3">
      <c r="B53" s="47" t="s">
        <v>123</v>
      </c>
      <c r="C53" s="46">
        <f>IFERROR('Data Sheet'!B61,0)</f>
        <v>83148</v>
      </c>
      <c r="D53" s="46">
        <f>IFERROR('Data Sheet'!C61,0)</f>
        <v>79349</v>
      </c>
      <c r="E53" s="46">
        <f>IFERROR('Data Sheet'!D61,0)</f>
        <v>84066</v>
      </c>
      <c r="F53" s="46">
        <f>IFERROR('Data Sheet'!E61,0)</f>
        <v>91800</v>
      </c>
      <c r="G53" s="46">
        <f>IFERROR('Data Sheet'!F61,0)</f>
        <v>107511</v>
      </c>
      <c r="H53" s="46">
        <f>IFERROR('Data Sheet'!G61,0)</f>
        <v>116729</v>
      </c>
      <c r="I53" s="46">
        <f>IFERROR('Data Sheet'!H61,0)</f>
        <v>124596</v>
      </c>
      <c r="J53" s="46">
        <f>IFERROR('Data Sheet'!I61,0)</f>
        <v>136020</v>
      </c>
      <c r="K53" s="46">
        <f>IFERROR('Data Sheet'!J61,0)</f>
        <v>147795</v>
      </c>
      <c r="L53" s="46">
        <f>IFERROR('Data Sheet'!K61,0)</f>
        <v>154288</v>
      </c>
    </row>
    <row r="54" spans="2:12" x14ac:dyDescent="0.3">
      <c r="B54" s="1"/>
      <c r="C54" s="44"/>
      <c r="D54" s="44"/>
      <c r="E54" s="44"/>
      <c r="F54" s="44"/>
      <c r="G54" s="44"/>
      <c r="H54" s="44"/>
      <c r="I54" s="44"/>
      <c r="J54" s="44"/>
      <c r="K54" s="44"/>
      <c r="L54" s="44"/>
    </row>
    <row r="55" spans="2:12" x14ac:dyDescent="0.3">
      <c r="B55" s="6" t="s">
        <v>124</v>
      </c>
      <c r="C55" s="44">
        <f>IFERROR('Data Sheet'!B62,0)</f>
        <v>14179</v>
      </c>
      <c r="D55" s="44">
        <f>IFERROR('Data Sheet'!C62,0)</f>
        <v>12574</v>
      </c>
      <c r="E55" s="44">
        <f>IFERROR('Data Sheet'!D62,0)</f>
        <v>15710</v>
      </c>
      <c r="F55" s="44">
        <f>IFERROR('Data Sheet'!E62,0)</f>
        <v>23789</v>
      </c>
      <c r="G55" s="44">
        <f>IFERROR('Data Sheet'!F62,0)</f>
        <v>25505</v>
      </c>
      <c r="H55" s="44">
        <f>IFERROR('Data Sheet'!G62,0)</f>
        <v>25800</v>
      </c>
      <c r="I55" s="44">
        <f>IFERROR('Data Sheet'!H62,0)</f>
        <v>29225</v>
      </c>
      <c r="J55" s="44">
        <f>IFERROR('Data Sheet'!I62,0)</f>
        <v>27622</v>
      </c>
      <c r="K55" s="44">
        <f>IFERROR('Data Sheet'!J62,0)</f>
        <v>30961</v>
      </c>
      <c r="L55" s="44">
        <f>IFERROR('Data Sheet'!K62,0)</f>
        <v>33770</v>
      </c>
    </row>
    <row r="56" spans="2:12" x14ac:dyDescent="0.3">
      <c r="B56" s="6" t="s">
        <v>28</v>
      </c>
      <c r="C56" s="44">
        <f>IFERROR('Data Sheet'!B63,0)</f>
        <v>1365</v>
      </c>
      <c r="D56" s="44">
        <f>IFERROR('Data Sheet'!C63,0)</f>
        <v>1606</v>
      </c>
      <c r="E56" s="44">
        <f>IFERROR('Data Sheet'!D63,0)</f>
        <v>1388</v>
      </c>
      <c r="F56" s="44">
        <f>IFERROR('Data Sheet'!E63,0)</f>
        <v>954</v>
      </c>
      <c r="G56" s="44">
        <f>IFERROR('Data Sheet'!F63,0)</f>
        <v>922</v>
      </c>
      <c r="H56" s="44">
        <f>IFERROR('Data Sheet'!G63,0)</f>
        <v>416</v>
      </c>
      <c r="I56" s="44">
        <f>IFERROR('Data Sheet'!H63,0)</f>
        <v>288</v>
      </c>
      <c r="J56" s="44">
        <f>IFERROR('Data Sheet'!I63,0)</f>
        <v>293</v>
      </c>
      <c r="K56" s="44">
        <f>IFERROR('Data Sheet'!J63,0)</f>
        <v>814</v>
      </c>
      <c r="L56" s="44">
        <f>IFERROR('Data Sheet'!K63,0)</f>
        <v>526</v>
      </c>
    </row>
    <row r="57" spans="2:12" x14ac:dyDescent="0.3">
      <c r="B57" s="6" t="s">
        <v>29</v>
      </c>
      <c r="C57" s="44">
        <f>IFERROR('Data Sheet'!B64,0)</f>
        <v>16423</v>
      </c>
      <c r="D57" s="44">
        <f>IFERROR('Data Sheet'!C64,0)</f>
        <v>12163</v>
      </c>
      <c r="E57" s="44">
        <f>IFERROR('Data Sheet'!D64,0)</f>
        <v>11261</v>
      </c>
      <c r="F57" s="44">
        <f>IFERROR('Data Sheet'!E64,0)</f>
        <v>8792</v>
      </c>
      <c r="G57" s="44">
        <f>IFERROR('Data Sheet'!F64,0)</f>
        <v>14205</v>
      </c>
      <c r="H57" s="44">
        <f>IFERROR('Data Sheet'!G64,0)</f>
        <v>20324</v>
      </c>
      <c r="I57" s="44">
        <f>IFERROR('Data Sheet'!H64,0)</f>
        <v>19478</v>
      </c>
      <c r="J57" s="44">
        <f>IFERROR('Data Sheet'!I64,0)</f>
        <v>24623</v>
      </c>
      <c r="K57" s="44">
        <f>IFERROR('Data Sheet'!J64,0)</f>
        <v>23541</v>
      </c>
      <c r="L57" s="44">
        <f>IFERROR('Data Sheet'!K64,0)</f>
        <v>21880</v>
      </c>
    </row>
    <row r="58" spans="2:12" x14ac:dyDescent="0.3">
      <c r="B58" s="6" t="s">
        <v>73</v>
      </c>
      <c r="C58" s="44">
        <f>IFERROR('Data Sheet'!B65-SUM('Data Sheet'!B67:B69),0)</f>
        <v>16234</v>
      </c>
      <c r="D58" s="44">
        <f>IFERROR('Data Sheet'!C65-SUM('Data Sheet'!C67:C69),0)</f>
        <v>20046</v>
      </c>
      <c r="E58" s="44">
        <f>IFERROR('Data Sheet'!D65-SUM('Data Sheet'!D67:D69),0)</f>
        <v>21312</v>
      </c>
      <c r="F58" s="44">
        <f>IFERROR('Data Sheet'!E65-SUM('Data Sheet'!E67:E69),0)</f>
        <v>21129</v>
      </c>
      <c r="G58" s="44">
        <f>IFERROR('Data Sheet'!F65-SUM('Data Sheet'!F67:F69),0)</f>
        <v>22871</v>
      </c>
      <c r="H58" s="44">
        <f>IFERROR('Data Sheet'!G65-SUM('Data Sheet'!G67:G69),0)</f>
        <v>30019</v>
      </c>
      <c r="I58" s="44">
        <f>IFERROR('Data Sheet'!H65-SUM('Data Sheet'!H67:H69),0)</f>
        <v>38008</v>
      </c>
      <c r="J58" s="44">
        <f>IFERROR('Data Sheet'!I65-SUM('Data Sheet'!I67:I69),0)</f>
        <v>38503</v>
      </c>
      <c r="K58" s="44">
        <f>IFERROR('Data Sheet'!J65-SUM('Data Sheet'!J67:J69),0)</f>
        <v>36866</v>
      </c>
      <c r="L58" s="44">
        <f>IFERROR('Data Sheet'!K65-SUM('Data Sheet'!K67:K69),0)</f>
        <v>40677</v>
      </c>
    </row>
    <row r="59" spans="2:12" x14ac:dyDescent="0.3">
      <c r="B59" s="47" t="s">
        <v>125</v>
      </c>
      <c r="C59" s="46">
        <f>IFERROR(SUM(C55:C58),0)</f>
        <v>48201</v>
      </c>
      <c r="D59" s="46">
        <f t="shared" ref="D59:L59" si="18">IFERROR(SUM(D55:D58),0)</f>
        <v>46389</v>
      </c>
      <c r="E59" s="46">
        <f t="shared" si="18"/>
        <v>49671</v>
      </c>
      <c r="F59" s="46">
        <f t="shared" si="18"/>
        <v>54664</v>
      </c>
      <c r="G59" s="46">
        <f t="shared" si="18"/>
        <v>63503</v>
      </c>
      <c r="H59" s="46">
        <f t="shared" si="18"/>
        <v>76559</v>
      </c>
      <c r="I59" s="46">
        <f t="shared" si="18"/>
        <v>86999</v>
      </c>
      <c r="J59" s="46">
        <f t="shared" si="18"/>
        <v>91041</v>
      </c>
      <c r="K59" s="46">
        <f t="shared" si="18"/>
        <v>92182</v>
      </c>
      <c r="L59" s="46">
        <f t="shared" si="18"/>
        <v>96853</v>
      </c>
    </row>
    <row r="60" spans="2:12" x14ac:dyDescent="0.3">
      <c r="B60" s="1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2:12" x14ac:dyDescent="0.3">
      <c r="B61" s="6" t="s">
        <v>78</v>
      </c>
      <c r="C61" s="44">
        <f>IFERROR('Data Sheet'!B67,0)</f>
        <v>12322</v>
      </c>
      <c r="D61" s="44">
        <f>IFERROR('Data Sheet'!C67,0)</f>
        <v>13142</v>
      </c>
      <c r="E61" s="44">
        <f>IFERROR('Data Sheet'!D67,0)</f>
        <v>14827</v>
      </c>
      <c r="F61" s="44">
        <f>IFERROR('Data Sheet'!E67,0)</f>
        <v>18487</v>
      </c>
      <c r="G61" s="44">
        <f>IFERROR('Data Sheet'!F67,0)</f>
        <v>19294</v>
      </c>
      <c r="H61" s="44">
        <f>IFERROR('Data Sheet'!G67,0)</f>
        <v>22698</v>
      </c>
      <c r="I61" s="44">
        <f>IFERROR('Data Sheet'!H67,0)</f>
        <v>25424</v>
      </c>
      <c r="J61" s="44">
        <f>IFERROR('Data Sheet'!I67,0)</f>
        <v>30193</v>
      </c>
      <c r="K61" s="44">
        <f>IFERROR('Data Sheet'!J67,0)</f>
        <v>31158</v>
      </c>
      <c r="L61" s="44">
        <f>IFERROR('Data Sheet'!K67,0)</f>
        <v>35234</v>
      </c>
    </row>
    <row r="62" spans="2:12" x14ac:dyDescent="0.3">
      <c r="B62" s="6" t="s">
        <v>45</v>
      </c>
      <c r="C62" s="44">
        <f>IFERROR('Data Sheet'!B68,0)</f>
        <v>0</v>
      </c>
      <c r="D62" s="44">
        <f>IFERROR('Data Sheet'!C68,0)</f>
        <v>0</v>
      </c>
      <c r="E62" s="44">
        <f>IFERROR('Data Sheet'!D68,0)</f>
        <v>0</v>
      </c>
      <c r="F62" s="44">
        <f>IFERROR('Data Sheet'!E68,0)</f>
        <v>0</v>
      </c>
      <c r="G62" s="44">
        <f>IFERROR('Data Sheet'!F68,0)</f>
        <v>0</v>
      </c>
      <c r="H62" s="44">
        <f>IFERROR('Data Sheet'!G68,0)</f>
        <v>0</v>
      </c>
      <c r="I62" s="44">
        <f>IFERROR('Data Sheet'!H68,0)</f>
        <v>0</v>
      </c>
      <c r="J62" s="44">
        <f>IFERROR('Data Sheet'!I68,0)</f>
        <v>0</v>
      </c>
      <c r="K62" s="44">
        <f>IFERROR('Data Sheet'!J68,0)</f>
        <v>0</v>
      </c>
      <c r="L62" s="44">
        <f>IFERROR('Data Sheet'!K68,0)</f>
        <v>0</v>
      </c>
    </row>
    <row r="63" spans="2:12" x14ac:dyDescent="0.3">
      <c r="B63" s="4" t="s">
        <v>87</v>
      </c>
      <c r="C63" s="44">
        <f>IFERROR('Data Sheet'!B69,0)</f>
        <v>22625</v>
      </c>
      <c r="D63" s="44">
        <f>IFERROR('Data Sheet'!C69,0)</f>
        <v>19818</v>
      </c>
      <c r="E63" s="44">
        <f>IFERROR('Data Sheet'!D69,0)</f>
        <v>19568</v>
      </c>
      <c r="F63" s="44">
        <f>IFERROR('Data Sheet'!E69,0)</f>
        <v>18649</v>
      </c>
      <c r="G63" s="44">
        <f>IFERROR('Data Sheet'!F69,0)</f>
        <v>24714</v>
      </c>
      <c r="H63" s="44">
        <f>IFERROR('Data Sheet'!G69,0)</f>
        <v>17472</v>
      </c>
      <c r="I63" s="44">
        <f>IFERROR('Data Sheet'!H69,0)</f>
        <v>12173</v>
      </c>
      <c r="J63" s="44">
        <f>IFERROR('Data Sheet'!I69,0)</f>
        <v>14786</v>
      </c>
      <c r="K63" s="44">
        <f>IFERROR('Data Sheet'!J69,0)</f>
        <v>24455</v>
      </c>
      <c r="L63" s="44">
        <f>IFERROR('Data Sheet'!K69,0)</f>
        <v>22201</v>
      </c>
    </row>
    <row r="64" spans="2:12" x14ac:dyDescent="0.3">
      <c r="B64" s="45" t="s">
        <v>126</v>
      </c>
      <c r="C64" s="46">
        <f>IFERROR(SUM(C61:C63),0)</f>
        <v>34947</v>
      </c>
      <c r="D64" s="46">
        <f t="shared" ref="D64:L64" si="19">IFERROR(SUM(D61:D63),0)</f>
        <v>32960</v>
      </c>
      <c r="E64" s="46">
        <f t="shared" si="19"/>
        <v>34395</v>
      </c>
      <c r="F64" s="46">
        <f t="shared" si="19"/>
        <v>37136</v>
      </c>
      <c r="G64" s="46">
        <f t="shared" si="19"/>
        <v>44008</v>
      </c>
      <c r="H64" s="46">
        <f t="shared" si="19"/>
        <v>40170</v>
      </c>
      <c r="I64" s="46">
        <f t="shared" si="19"/>
        <v>37597</v>
      </c>
      <c r="J64" s="46">
        <f t="shared" si="19"/>
        <v>44979</v>
      </c>
      <c r="K64" s="46">
        <f t="shared" si="19"/>
        <v>55613</v>
      </c>
      <c r="L64" s="46">
        <f t="shared" si="19"/>
        <v>57435</v>
      </c>
    </row>
    <row r="65" spans="1:14" x14ac:dyDescent="0.3">
      <c r="C65" s="44"/>
      <c r="D65" s="44"/>
      <c r="E65" s="44"/>
      <c r="F65" s="44"/>
      <c r="G65" s="44"/>
      <c r="H65" s="44"/>
      <c r="I65" s="44"/>
      <c r="J65" s="44"/>
      <c r="K65" s="44"/>
      <c r="L65" s="44"/>
    </row>
    <row r="66" spans="1:14" x14ac:dyDescent="0.3">
      <c r="B66" s="45" t="s">
        <v>127</v>
      </c>
      <c r="C66" s="46">
        <f>IFERROR(SUM(C64+C59),0)</f>
        <v>83148</v>
      </c>
      <c r="D66" s="46">
        <f t="shared" ref="D66:L66" si="20">IFERROR(SUM(D64+D59),0)</f>
        <v>79349</v>
      </c>
      <c r="E66" s="46">
        <f t="shared" si="20"/>
        <v>84066</v>
      </c>
      <c r="F66" s="46">
        <f t="shared" si="20"/>
        <v>91800</v>
      </c>
      <c r="G66" s="46">
        <f t="shared" si="20"/>
        <v>107511</v>
      </c>
      <c r="H66" s="46">
        <f t="shared" si="20"/>
        <v>116729</v>
      </c>
      <c r="I66" s="46">
        <f t="shared" si="20"/>
        <v>124596</v>
      </c>
      <c r="J66" s="46">
        <f t="shared" si="20"/>
        <v>136020</v>
      </c>
      <c r="K66" s="46">
        <f t="shared" si="20"/>
        <v>147795</v>
      </c>
      <c r="L66" s="46">
        <f t="shared" si="20"/>
        <v>154288</v>
      </c>
    </row>
    <row r="68" spans="1:14" x14ac:dyDescent="0.3">
      <c r="B68" s="30" t="s">
        <v>128</v>
      </c>
      <c r="C68" s="30" t="b">
        <f>C66=C53</f>
        <v>1</v>
      </c>
      <c r="D68" s="30" t="b">
        <f t="shared" ref="D68:L68" si="21">D66=D53</f>
        <v>1</v>
      </c>
      <c r="E68" s="30" t="b">
        <f t="shared" si="21"/>
        <v>1</v>
      </c>
      <c r="F68" s="30" t="b">
        <f t="shared" si="21"/>
        <v>1</v>
      </c>
      <c r="G68" s="30" t="b">
        <f t="shared" si="21"/>
        <v>1</v>
      </c>
      <c r="H68" s="30" t="b">
        <f t="shared" si="21"/>
        <v>1</v>
      </c>
      <c r="I68" s="30" t="b">
        <f t="shared" si="21"/>
        <v>1</v>
      </c>
      <c r="J68" s="30" t="b">
        <f t="shared" si="21"/>
        <v>1</v>
      </c>
      <c r="K68" s="30" t="b">
        <f t="shared" si="21"/>
        <v>1</v>
      </c>
      <c r="L68" s="30" t="b">
        <f t="shared" si="21"/>
        <v>1</v>
      </c>
    </row>
    <row r="70" spans="1:14" x14ac:dyDescent="0.3">
      <c r="A70" t="s">
        <v>96</v>
      </c>
      <c r="B70" s="37" t="s">
        <v>151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</row>
    <row r="71" spans="1:14" x14ac:dyDescent="0.3">
      <c r="B71" s="2"/>
    </row>
    <row r="72" spans="1:14" x14ac:dyDescent="0.3">
      <c r="B72" t="s">
        <v>152</v>
      </c>
      <c r="C72" s="44">
        <f>IFERROR('Data Sheet'!B82,0)</f>
        <v>11531</v>
      </c>
      <c r="D72" s="44">
        <f>IFERROR('Data Sheet'!C82,0)</f>
        <v>13218</v>
      </c>
      <c r="E72" s="44">
        <f>IFERROR('Data Sheet'!D82,0)</f>
        <v>14841</v>
      </c>
      <c r="F72" s="44">
        <f>IFERROR('Data Sheet'!E82,0)</f>
        <v>17003</v>
      </c>
      <c r="G72" s="44">
        <f>IFERROR('Data Sheet'!F82,0)</f>
        <v>23224</v>
      </c>
      <c r="H72" s="44">
        <f>IFERROR('Data Sheet'!G82,0)</f>
        <v>23885</v>
      </c>
      <c r="I72" s="44">
        <f>IFERROR('Data Sheet'!H82,0)</f>
        <v>22467</v>
      </c>
      <c r="J72" s="44">
        <f>IFERROR('Data Sheet'!I82,0)</f>
        <v>25210</v>
      </c>
      <c r="K72" s="44">
        <f>IFERROR('Data Sheet'!J82,0)</f>
        <v>35694</v>
      </c>
      <c r="L72" s="44">
        <f>IFERROR('Data Sheet'!K82,0)</f>
        <v>33986</v>
      </c>
      <c r="M72" s="29"/>
    </row>
    <row r="73" spans="1:14" x14ac:dyDescent="0.3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29"/>
      <c r="N73" s="29"/>
    </row>
    <row r="74" spans="1:14" x14ac:dyDescent="0.3">
      <c r="B74" t="s">
        <v>153</v>
      </c>
      <c r="C74" s="44">
        <f>IFERROR('Data Sheet'!B83,0)</f>
        <v>-14664</v>
      </c>
      <c r="D74" s="44">
        <f>IFERROR('Data Sheet'!C83,0)</f>
        <v>4533</v>
      </c>
      <c r="E74" s="44">
        <f>IFERROR('Data Sheet'!D83,0)</f>
        <v>-632</v>
      </c>
      <c r="F74" s="44">
        <f>IFERROR('Data Sheet'!E83,0)</f>
        <v>-331</v>
      </c>
      <c r="G74" s="44">
        <f>IFERROR('Data Sheet'!F83,0)</f>
        <v>-7373</v>
      </c>
      <c r="H74" s="44">
        <f>IFERROR('Data Sheet'!G83,0)</f>
        <v>-6485</v>
      </c>
      <c r="I74" s="44">
        <f>IFERROR('Data Sheet'!H83,0)</f>
        <v>-1071</v>
      </c>
      <c r="J74" s="44">
        <f>IFERROR('Data Sheet'!I83,0)</f>
        <v>-5093</v>
      </c>
      <c r="K74" s="44">
        <f>IFERROR('Data Sheet'!J83,0)</f>
        <v>-1864</v>
      </c>
      <c r="L74" s="44">
        <f>IFERROR('Data Sheet'!K83,0)</f>
        <v>3546</v>
      </c>
      <c r="M74" s="29"/>
      <c r="N74" s="29"/>
    </row>
    <row r="75" spans="1:14" x14ac:dyDescent="0.3"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29"/>
    </row>
    <row r="76" spans="1:14" x14ac:dyDescent="0.3">
      <c r="B76" t="s">
        <v>154</v>
      </c>
      <c r="C76" s="44">
        <f>IFERROR('Data Sheet'!B84,0)</f>
        <v>-6939</v>
      </c>
      <c r="D76" s="44">
        <f>IFERROR('Data Sheet'!C84,0)</f>
        <v>-20505</v>
      </c>
      <c r="E76" s="44">
        <f>IFERROR('Data Sheet'!D84,0)</f>
        <v>-14512</v>
      </c>
      <c r="F76" s="44">
        <f>IFERROR('Data Sheet'!E84,0)</f>
        <v>-17591</v>
      </c>
      <c r="G76" s="44">
        <f>IFERROR('Data Sheet'!F84,0)</f>
        <v>-9786</v>
      </c>
      <c r="H76" s="44">
        <f>IFERROR('Data Sheet'!G84,0)</f>
        <v>-24642</v>
      </c>
      <c r="I76" s="44">
        <f>IFERROR('Data Sheet'!H84,0)</f>
        <v>-26695</v>
      </c>
      <c r="J76" s="44">
        <f>IFERROR('Data Sheet'!I84,0)</f>
        <v>-17504</v>
      </c>
      <c r="K76" s="44">
        <f>IFERROR('Data Sheet'!J84,0)</f>
        <v>-24161</v>
      </c>
      <c r="L76" s="44">
        <f>IFERROR('Data Sheet'!K84,0)</f>
        <v>-39786</v>
      </c>
      <c r="M76" s="29"/>
    </row>
    <row r="77" spans="1:14" x14ac:dyDescent="0.3"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29"/>
    </row>
    <row r="78" spans="1:14" x14ac:dyDescent="0.3">
      <c r="B78" s="45" t="s">
        <v>155</v>
      </c>
      <c r="C78" s="46">
        <f t="shared" ref="C78:L78" si="22">IFERROR(SUM(C76+C74+C72),0)</f>
        <v>-10072</v>
      </c>
      <c r="D78" s="46">
        <f t="shared" si="22"/>
        <v>-2754</v>
      </c>
      <c r="E78" s="46">
        <f t="shared" si="22"/>
        <v>-303</v>
      </c>
      <c r="F78" s="46">
        <f t="shared" si="22"/>
        <v>-919</v>
      </c>
      <c r="G78" s="46">
        <f t="shared" si="22"/>
        <v>6065</v>
      </c>
      <c r="H78" s="46">
        <f t="shared" si="22"/>
        <v>-7242</v>
      </c>
      <c r="I78" s="46">
        <f t="shared" si="22"/>
        <v>-5299</v>
      </c>
      <c r="J78" s="46">
        <f t="shared" si="22"/>
        <v>2613</v>
      </c>
      <c r="K78" s="46">
        <f t="shared" si="22"/>
        <v>9669</v>
      </c>
      <c r="L78" s="46">
        <f t="shared" si="22"/>
        <v>-2254</v>
      </c>
      <c r="M78" s="29"/>
    </row>
    <row r="80" spans="1:14" x14ac:dyDescent="0.3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2:12" x14ac:dyDescent="0.3">
      <c r="B81" s="2"/>
    </row>
    <row r="82" spans="2:12" x14ac:dyDescent="0.3">
      <c r="C82" s="44"/>
      <c r="D82" s="44"/>
      <c r="E82" s="44"/>
      <c r="F82" s="44"/>
      <c r="G82" s="44"/>
      <c r="H82" s="44"/>
      <c r="I82" s="44"/>
      <c r="J82" s="44"/>
      <c r="K82" s="44"/>
      <c r="L82" s="44"/>
    </row>
    <row r="83" spans="2:12" x14ac:dyDescent="0.3">
      <c r="C83" s="44"/>
      <c r="D83" s="44"/>
      <c r="E83" s="44"/>
      <c r="F83" s="44"/>
      <c r="G83" s="44"/>
      <c r="H83" s="44"/>
      <c r="I83" s="44"/>
      <c r="J83" s="44"/>
      <c r="K83" s="44"/>
      <c r="L83" s="44"/>
    </row>
    <row r="84" spans="2:12" x14ac:dyDescent="0.3">
      <c r="C84" s="44"/>
      <c r="D84" s="44"/>
      <c r="E84" s="44"/>
      <c r="F84" s="44"/>
      <c r="G84" s="44"/>
      <c r="H84" s="44"/>
      <c r="I84" s="44"/>
      <c r="J84" s="44"/>
      <c r="K84" s="44"/>
      <c r="L84" s="44"/>
    </row>
    <row r="85" spans="2:12" x14ac:dyDescent="0.3"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spans="2:12" x14ac:dyDescent="0.3">
      <c r="C86" s="44"/>
      <c r="D86" s="44"/>
      <c r="E86" s="44"/>
      <c r="F86" s="44"/>
      <c r="G86" s="44"/>
      <c r="H86" s="44"/>
      <c r="I86" s="44"/>
      <c r="J86" s="44"/>
      <c r="K86" s="44"/>
      <c r="L86" s="44"/>
    </row>
    <row r="87" spans="2:12" x14ac:dyDescent="0.3">
      <c r="C87" s="44"/>
      <c r="D87" s="44"/>
      <c r="E87" s="44"/>
      <c r="F87" s="44"/>
      <c r="G87" s="44"/>
      <c r="H87" s="44"/>
      <c r="I87" s="44"/>
      <c r="J87" s="44"/>
      <c r="K87" s="44"/>
      <c r="L87" s="44"/>
    </row>
    <row r="88" spans="2:12" x14ac:dyDescent="0.3">
      <c r="C88" s="44"/>
      <c r="D88" s="44"/>
      <c r="E88" s="44"/>
      <c r="F88" s="44"/>
      <c r="G88" s="44"/>
      <c r="H88" s="44"/>
      <c r="I88" s="44"/>
      <c r="J88" s="44"/>
      <c r="K88" s="44"/>
      <c r="L88" s="44"/>
    </row>
    <row r="89" spans="2:12" x14ac:dyDescent="0.3">
      <c r="C89" s="44"/>
      <c r="D89" s="44"/>
      <c r="E89" s="44"/>
      <c r="F89" s="44"/>
      <c r="G89" s="44"/>
      <c r="H89" s="44"/>
      <c r="I89" s="44"/>
      <c r="J89" s="44"/>
      <c r="K89" s="44"/>
      <c r="L89" s="44"/>
    </row>
    <row r="92" spans="2:12" x14ac:dyDescent="0.3">
      <c r="B92" s="2"/>
    </row>
    <row r="93" spans="2:12" x14ac:dyDescent="0.3">
      <c r="C93" s="44"/>
      <c r="D93" s="44"/>
      <c r="E93" s="44"/>
      <c r="F93" s="44"/>
      <c r="G93" s="44"/>
      <c r="H93" s="44"/>
      <c r="I93" s="44"/>
      <c r="J93" s="44"/>
      <c r="K93" s="44"/>
      <c r="L93" s="44"/>
    </row>
    <row r="94" spans="2:12" x14ac:dyDescent="0.3">
      <c r="C94" s="44"/>
      <c r="D94" s="44"/>
      <c r="E94" s="44"/>
      <c r="F94" s="44"/>
      <c r="G94" s="44"/>
      <c r="H94" s="44"/>
      <c r="I94" s="44"/>
      <c r="J94" s="44"/>
      <c r="K94" s="44"/>
      <c r="L94" s="44"/>
    </row>
    <row r="95" spans="2:12" x14ac:dyDescent="0.3">
      <c r="C95" s="44"/>
      <c r="D95" s="44"/>
      <c r="E95" s="44"/>
      <c r="F95" s="44"/>
      <c r="G95" s="44"/>
      <c r="H95" s="44"/>
      <c r="I95" s="44"/>
      <c r="J95" s="44"/>
      <c r="K95" s="44"/>
      <c r="L95" s="44"/>
    </row>
    <row r="96" spans="2:12" x14ac:dyDescent="0.3"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spans="3:12" x14ac:dyDescent="0.3">
      <c r="C97" s="44"/>
      <c r="D97" s="44"/>
      <c r="E97" s="44"/>
      <c r="F97" s="44"/>
      <c r="G97" s="44"/>
      <c r="H97" s="44"/>
      <c r="I97" s="44"/>
      <c r="J97" s="44"/>
      <c r="K97" s="44"/>
      <c r="L97" s="44"/>
    </row>
    <row r="102" spans="3:12" x14ac:dyDescent="0.3"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 count="1">
    <mergeCell ref="B2:M2"/>
  </mergeCells>
  <pageMargins left="0.7" right="0.7" top="0.75" bottom="0.75" header="0.3" footer="0.3"/>
  <ignoredErrors>
    <ignoredError sqref="M6 I9 C9:H9 J9:M9 C15 D15:M1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5470-BF5C-476B-9A84-DA0378A7AD5F}">
  <sheetPr>
    <tabColor theme="7" tint="-0.249977111117893"/>
  </sheetPr>
  <dimension ref="A2:O41"/>
  <sheetViews>
    <sheetView showGridLines="0" zoomScale="101" zoomScaleNormal="140" workbookViewId="0">
      <pane xSplit="2" ySplit="3" topLeftCell="C36" activePane="bottomRight" state="frozen"/>
      <selection pane="topRight" activeCell="C1" sqref="C1"/>
      <selection pane="bottomLeft" activeCell="A4" sqref="A4"/>
      <selection pane="bottomRight" activeCell="L26" sqref="L26"/>
    </sheetView>
  </sheetViews>
  <sheetFormatPr defaultRowHeight="14.4" x14ac:dyDescent="0.3"/>
  <cols>
    <col min="1" max="1" width="1.88671875" style="49" customWidth="1"/>
    <col min="2" max="2" width="24.33203125" bestFit="1" customWidth="1"/>
    <col min="13" max="13" width="13.109375" customWidth="1"/>
    <col min="14" max="15" width="9" bestFit="1" customWidth="1"/>
  </cols>
  <sheetData>
    <row r="2" spans="2:15" x14ac:dyDescent="0.3">
      <c r="B2" s="71" t="str">
        <f>"Ratio Analysis  - "&amp;'Data Sheet'!B1</f>
        <v>Ratio Analysis  - INFOSYS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2:15" x14ac:dyDescent="0.3">
      <c r="B3" s="26" t="s">
        <v>94</v>
      </c>
      <c r="C3" s="27">
        <f>'Data Sheet'!B16</f>
        <v>42825</v>
      </c>
      <c r="D3" s="27">
        <f>'Data Sheet'!C16</f>
        <v>43190</v>
      </c>
      <c r="E3" s="27">
        <f>'Data Sheet'!D16</f>
        <v>43555</v>
      </c>
      <c r="F3" s="27">
        <f>'Data Sheet'!E16</f>
        <v>43921</v>
      </c>
      <c r="G3" s="27">
        <f>'Data Sheet'!F16</f>
        <v>44286</v>
      </c>
      <c r="H3" s="27">
        <f>'Data Sheet'!G16</f>
        <v>44651</v>
      </c>
      <c r="I3" s="27">
        <f>'Data Sheet'!H16</f>
        <v>45016</v>
      </c>
      <c r="J3" s="27">
        <f>'Data Sheet'!I16</f>
        <v>45382</v>
      </c>
      <c r="K3" s="27">
        <f>'Data Sheet'!J16</f>
        <v>45747</v>
      </c>
      <c r="L3" s="27">
        <f>'Data Sheet'!K16</f>
        <v>46112</v>
      </c>
      <c r="M3" s="27" t="s">
        <v>188</v>
      </c>
      <c r="N3" s="27" t="s">
        <v>186</v>
      </c>
      <c r="O3" s="27" t="s">
        <v>187</v>
      </c>
    </row>
    <row r="5" spans="2:15" x14ac:dyDescent="0.3">
      <c r="B5" s="50" t="s">
        <v>157</v>
      </c>
      <c r="C5" s="50"/>
      <c r="D5" s="51">
        <f>IFERROR('Historical FS'!D6/'Historical FS'!C6-1,0)</f>
        <v>2.9758775772443125E-2</v>
      </c>
      <c r="E5" s="51">
        <f>IFERROR('Historical FS'!E6/'Historical FS'!D6-1,0)</f>
        <v>0.17232920223476356</v>
      </c>
      <c r="F5" s="51">
        <f>IFERROR('Historical FS'!F6/'Historical FS'!E6-1,0)</f>
        <v>9.8167523435137571E-2</v>
      </c>
      <c r="G5" s="51">
        <f>IFERROR('Historical FS'!G6/'Historical FS'!F6-1,0)</f>
        <v>0.10662951173574475</v>
      </c>
      <c r="H5" s="51">
        <f>IFERROR('Historical FS'!H6/'Historical FS'!G6-1,0)</f>
        <v>0.21069551715900947</v>
      </c>
      <c r="I5" s="51">
        <f>IFERROR('Historical FS'!I6/'Historical FS'!H6-1,0)</f>
        <v>0.20655864387829759</v>
      </c>
      <c r="J5" s="51">
        <f>IFERROR('Historical FS'!J6/'Historical FS'!I6-1,0)</f>
        <v>4.7033733741236095E-2</v>
      </c>
      <c r="K5" s="51">
        <f>IFERROR('Historical FS'!K6/'Historical FS'!J6-1,0)</f>
        <v>6.0649443612936782E-2</v>
      </c>
      <c r="L5" s="51">
        <f>IFERROR('Historical FS'!L6/'Historical FS'!K6-1,0)</f>
        <v>9.6079514080618544E-2</v>
      </c>
      <c r="M5" s="61"/>
      <c r="N5" s="62">
        <f>IFERROR(AVERAGE(D5:L5),0)</f>
        <v>0.11421131840557638</v>
      </c>
      <c r="O5" s="62">
        <f>IFERROR(MEDIAN(C5:L5),0)</f>
        <v>9.8167523435137571E-2</v>
      </c>
    </row>
    <row r="6" spans="2:15" x14ac:dyDescent="0.3">
      <c r="B6" t="s">
        <v>158</v>
      </c>
      <c r="D6" s="52">
        <f>IFERROR('Historical FS'!D18/'Historical FS'!C18-1,0)</f>
        <v>1.1717910126854525E-2</v>
      </c>
      <c r="E6" s="52">
        <f>IFERROR('Historical FS'!E18/'Historical FS'!D18-1,0)</f>
        <v>7.1618318988417862E-2</v>
      </c>
      <c r="F6" s="52">
        <f>IFERROR('Historical FS'!F18/'Historical FS'!E18-1,0)</f>
        <v>0.10396628656420437</v>
      </c>
      <c r="G6" s="52">
        <f>IFERROR('Historical FS'!G18/'Historical FS'!F18-1,0)</f>
        <v>0.25248125028068436</v>
      </c>
      <c r="H6" s="52">
        <f>IFERROR('Historical FS'!H18/'Historical FS'!G18-1,0)</f>
        <v>0.12915486392484499</v>
      </c>
      <c r="I6" s="52">
        <f>IFERROR('Historical FS'!I18/'Historical FS'!H18-1,0)</f>
        <v>0.1155568257597408</v>
      </c>
      <c r="J6" s="52">
        <f>IFERROR('Historical FS'!J18/'Historical FS'!I18-1,0)</f>
        <v>3.6863079988613823E-2</v>
      </c>
      <c r="K6" s="52">
        <f>IFERROR('Historical FS'!K18/'Historical FS'!J18-1,0)</f>
        <v>7.7172271791352109E-2</v>
      </c>
      <c r="L6" s="52">
        <f>IFERROR('Historical FS'!L18/'Historical FS'!K18-1,0)</f>
        <v>7.758181262106234E-2</v>
      </c>
      <c r="N6" s="52">
        <f t="shared" ref="N6:N9" si="0">IFERROR(AVERAGE(D6:L6),0)</f>
        <v>9.7345846671752792E-2</v>
      </c>
      <c r="O6" s="52">
        <f t="shared" ref="O6:O9" si="1">IFERROR(MEDIAN(C6:L6),0)</f>
        <v>7.758181262106234E-2</v>
      </c>
    </row>
    <row r="7" spans="2:15" x14ac:dyDescent="0.3">
      <c r="B7" t="s">
        <v>185</v>
      </c>
      <c r="D7" s="52">
        <f>IFERROR('Historical FS'!D29/'Historical FS'!C29-1,0)</f>
        <v>1.5989173475013718E-2</v>
      </c>
      <c r="E7" s="52">
        <f>IFERROR('Historical FS'!E29/'Historical FS'!D29-1,0)</f>
        <v>3.8036507153428767E-2</v>
      </c>
      <c r="F7" s="52">
        <f>IFERROR('Historical FS'!F29/'Historical FS'!E29-1,0)</f>
        <v>4.5910365476925952E-2</v>
      </c>
      <c r="G7" s="52">
        <f>IFERROR('Historical FS'!G29/'Historical FS'!F29-1,0)</f>
        <v>0.20997864315899495</v>
      </c>
      <c r="H7" s="52">
        <f>IFERROR('Historical FS'!H29/'Historical FS'!G29-1,0)</f>
        <v>0.13076460868258977</v>
      </c>
      <c r="I7" s="52">
        <f>IFERROR('Historical FS'!I29/'Historical FS'!H29-1,0)</f>
        <v>0.10667552308203265</v>
      </c>
      <c r="J7" s="52">
        <f>IFERROR('Historical FS'!J29/'Historical FS'!I29-1,0)</f>
        <v>8.0007202448832526E-2</v>
      </c>
      <c r="K7" s="52">
        <f>IFERROR('Historical FS'!K29/'Historical FS'!J29-1,0)</f>
        <v>4.501500500166733E-2</v>
      </c>
      <c r="L7" s="52">
        <f>IFERROR('Historical FS'!L29/'Historical FS'!K29-1,0)</f>
        <v>6.3470538183365344E-2</v>
      </c>
      <c r="N7" s="52">
        <f t="shared" si="0"/>
        <v>8.1760840740316781E-2</v>
      </c>
      <c r="O7" s="52">
        <f t="shared" si="1"/>
        <v>6.3470538183365344E-2</v>
      </c>
    </row>
    <row r="8" spans="2:15" x14ac:dyDescent="0.3">
      <c r="B8" t="s">
        <v>159</v>
      </c>
      <c r="D8" s="52">
        <f>IFERROR('Historical FS'!D35/'Historical FS'!C35-1,0)</f>
        <v>0.11677001323765057</v>
      </c>
      <c r="E8" s="52">
        <f>IFERROR('Historical FS'!E35/'Historical FS'!D35-1,0)</f>
        <v>-3.8617505770790483E-2</v>
      </c>
      <c r="F8" s="52">
        <f>IFERROR('Historical FS'!F35/'Historical FS'!E35-1,0)</f>
        <v>7.975340687865029E-2</v>
      </c>
      <c r="G8" s="52">
        <f>IFERROR('Historical FS'!G35/'Historical FS'!F35-1,0)</f>
        <v>0.16731774746078498</v>
      </c>
      <c r="H8" s="52">
        <f>IFERROR('Historical FS'!H35/'Historical FS'!G35-1,0)</f>
        <v>0.14019461463213712</v>
      </c>
      <c r="I8" s="52">
        <f>IFERROR('Historical FS'!I35/'Historical FS'!H35-1,0)</f>
        <v>8.8593876998103394E-2</v>
      </c>
      <c r="J8" s="52">
        <f>IFERROR('Historical FS'!J35/'Historical FS'!I35-1,0)</f>
        <v>8.8767214202754241E-2</v>
      </c>
      <c r="K8" s="52">
        <f>IFERROR('Historical FS'!K35/'Historical FS'!J35-1,0)</f>
        <v>1.9125266686985665E-2</v>
      </c>
      <c r="L8" s="52">
        <f>IFERROR('Historical FS'!L35/'Historical FS'!K35-1,0)</f>
        <v>0.1018317757009346</v>
      </c>
      <c r="N8" s="52">
        <f t="shared" si="0"/>
        <v>8.4859601114134486E-2</v>
      </c>
      <c r="O8" s="52">
        <f t="shared" si="1"/>
        <v>8.8767214202754241E-2</v>
      </c>
    </row>
    <row r="9" spans="2:15" x14ac:dyDescent="0.3">
      <c r="B9" s="53" t="s">
        <v>160</v>
      </c>
      <c r="C9" s="53"/>
      <c r="D9" s="54">
        <f>IFERROR('Historical FS'!D43/'Historical FS'!C43-1,0)</f>
        <v>0.68963896853592144</v>
      </c>
      <c r="E9" s="54">
        <f>IFERROR('Historical FS'!E43/'Historical FS'!D43-1,0)</f>
        <v>-2.5838579728767352E-2</v>
      </c>
      <c r="F9" s="54">
        <f>IFERROR('Historical FS'!F43/'Historical FS'!E43-1,0)</f>
        <v>-0.17390646350868544</v>
      </c>
      <c r="G9" s="54">
        <f>IFERROR('Historical FS'!G43/'Historical FS'!F43-1,0)</f>
        <v>0.54369512340846549</v>
      </c>
      <c r="H9" s="54">
        <f>IFERROR('Historical FS'!H43/'Historical FS'!G43-1,0)</f>
        <v>0.14865158399694378</v>
      </c>
      <c r="I9" s="54">
        <f>IFERROR('Historical FS'!I43/'Historical FS'!H43-1,0)</f>
        <v>9.6761529392781709E-2</v>
      </c>
      <c r="J9" s="54">
        <f>IFERROR('Historical FS'!J43/'Historical FS'!I43-1,0)</f>
        <v>0.35349861290755547</v>
      </c>
      <c r="K9" s="54">
        <f>IFERROR('Historical FS'!K43/'Historical FS'!J43-1,0)</f>
        <v>-6.4855345095345629E-2</v>
      </c>
      <c r="L9" s="54">
        <f>IFERROR('Historical FS'!L43/'Historical FS'!K43-1,0)</f>
        <v>0.11614900276192253</v>
      </c>
      <c r="M9" s="63"/>
      <c r="N9" s="64">
        <f t="shared" si="0"/>
        <v>0.18708827029675468</v>
      </c>
      <c r="O9" s="64">
        <f t="shared" si="1"/>
        <v>0.11614900276192253</v>
      </c>
    </row>
    <row r="11" spans="2:15" x14ac:dyDescent="0.3">
      <c r="B11" s="50" t="s">
        <v>100</v>
      </c>
      <c r="C11" s="51">
        <f>IFERROR('Historical FS'!C13,0)</f>
        <v>0.34862157584253256</v>
      </c>
      <c r="D11" s="51">
        <f>IFERROR('Historical FS'!D13,0)</f>
        <v>0.34212018944442868</v>
      </c>
      <c r="E11" s="51">
        <f>IFERROR('Historical FS'!E13,0)</f>
        <v>0.32934986392500754</v>
      </c>
      <c r="F11" s="51">
        <f>IFERROR('Historical FS'!F13,0)</f>
        <v>0.31479992510270843</v>
      </c>
      <c r="G11" s="51">
        <f>IFERROR('Historical FS'!G13,0)</f>
        <v>0.31831754120550998</v>
      </c>
      <c r="H11" s="51">
        <f>IFERROR('Historical FS'!H13,0)</f>
        <v>0.30271043480405457</v>
      </c>
      <c r="I11" s="51">
        <f>IFERROR('Historical FS'!I13,0)</f>
        <v>0.28539794367943749</v>
      </c>
      <c r="J11" s="51">
        <f>IFERROR('Historical FS'!J13,0)</f>
        <v>0.28398516301164833</v>
      </c>
      <c r="K11" s="51">
        <f>IFERROR('Historical FS'!K13,0)</f>
        <v>0.2847107184489846</v>
      </c>
      <c r="L11" s="51">
        <f>IFERROR('Historical FS'!L13,0)</f>
        <v>0.28207668625804644</v>
      </c>
      <c r="M11" s="61"/>
      <c r="N11" s="62">
        <f>IFERROR(AVERAGE(C11:L11),0)</f>
        <v>0.30920900417223585</v>
      </c>
      <c r="O11" s="62">
        <f t="shared" ref="O11:O15" si="2">IFERROR(MEDIAN(C11:L11),0)</f>
        <v>0.30875517995338153</v>
      </c>
    </row>
    <row r="12" spans="2:15" x14ac:dyDescent="0.3">
      <c r="B12" t="s">
        <v>162</v>
      </c>
      <c r="C12" s="52">
        <f>IFERROR('Historical FS'!C19,0)</f>
        <v>0.27165469306699375</v>
      </c>
      <c r="D12" s="52">
        <f>IFERROR('Historical FS'!D19,0)</f>
        <v>0.26689543688494372</v>
      </c>
      <c r="E12" s="52">
        <f>IFERROR('Historical FS'!E19,0)</f>
        <v>0.24396734200181433</v>
      </c>
      <c r="F12" s="52">
        <f>IFERROR('Historical FS'!F19,0)</f>
        <v>0.24525558700752279</v>
      </c>
      <c r="G12" s="52">
        <f>IFERROR('Historical FS'!G19,0)</f>
        <v>0.27757982323433394</v>
      </c>
      <c r="H12" s="52">
        <f>IFERROR('Historical FS'!H19,0)</f>
        <v>0.25888475102966929</v>
      </c>
      <c r="I12" s="52">
        <f>IFERROR('Historical FS'!I19,0)</f>
        <v>0.23935898396778568</v>
      </c>
      <c r="J12" s="52">
        <f>IFERROR('Historical FS'!J19,0)</f>
        <v>0.23703390381987374</v>
      </c>
      <c r="K12" s="52">
        <f>IFERROR('Historical FS'!K19,0)</f>
        <v>0.24072642493404503</v>
      </c>
      <c r="L12" s="52">
        <f>IFERROR('Historical FS'!L19,0)</f>
        <v>0.23666386789812482</v>
      </c>
      <c r="N12" s="52">
        <f t="shared" ref="N12:N15" si="3">IFERROR(AVERAGE(C12:L12),0)</f>
        <v>0.25180208138451071</v>
      </c>
      <c r="O12" s="52">
        <f t="shared" si="2"/>
        <v>0.24461146450466856</v>
      </c>
    </row>
    <row r="13" spans="2:15" x14ac:dyDescent="0.3">
      <c r="B13" t="s">
        <v>161</v>
      </c>
      <c r="C13" s="52">
        <f>IFERROR(('Historical FS'!C18-'Historical FS'!C24)/'Historical FS'!C6,0)</f>
        <v>0.24678757081946148</v>
      </c>
      <c r="D13" s="52">
        <f>IFERROR(('Historical FS'!D18-'Historical FS'!D24)/'Historical FS'!D6,0)</f>
        <v>0.24047814866282863</v>
      </c>
      <c r="E13" s="52">
        <f>IFERROR(('Historical FS'!E18-'Historical FS'!E24)/'Historical FS'!E6,0)</f>
        <v>0.2196431811309344</v>
      </c>
      <c r="F13" s="52">
        <f>IFERROR(('Historical FS'!F18-'Historical FS'!F24)/'Historical FS'!F6,0)</f>
        <v>0.21339119516251612</v>
      </c>
      <c r="G13" s="52">
        <f>IFERROR(('Historical FS'!G18-'Historical FS'!G24)/'Historical FS'!G6,0)</f>
        <v>0.24506330121824987</v>
      </c>
      <c r="H13" s="52">
        <f>IFERROR(('Historical FS'!H18-'Historical FS'!H24)/'Historical FS'!H6,0)</f>
        <v>0.23030885967724699</v>
      </c>
      <c r="I13" s="52">
        <f>IFERROR(('Historical FS'!I18-'Historical FS'!I24)/'Historical FS'!I6,0)</f>
        <v>0.21057185879659596</v>
      </c>
      <c r="J13" s="52">
        <f>IFERROR(('Historical FS'!J18-'Historical FS'!J24)/'Historical FS'!J6,0)</f>
        <v>0.20659204789483959</v>
      </c>
      <c r="K13" s="52">
        <f>IFERROR(('Historical FS'!K18-'Historical FS'!K24)/'Historical FS'!K6,0)</f>
        <v>0.21120314129701209</v>
      </c>
      <c r="L13" s="52">
        <f>IFERROR(('Historical FS'!L18-'Historical FS'!L24)/'Historical FS'!L6,0)</f>
        <v>0.20922474111390987</v>
      </c>
      <c r="N13" s="52">
        <f t="shared" si="3"/>
        <v>0.22332640457735947</v>
      </c>
      <c r="O13" s="52">
        <f t="shared" si="2"/>
        <v>0.21651718814672527</v>
      </c>
    </row>
    <row r="14" spans="2:15" x14ac:dyDescent="0.3">
      <c r="B14" t="s">
        <v>163</v>
      </c>
      <c r="C14" s="52">
        <f>IFERROR('Historical FS'!C30,0)</f>
        <v>0.29132352082238189</v>
      </c>
      <c r="D14" s="52">
        <f>IFERROR('Historical FS'!D30,0)</f>
        <v>0.28742803664104816</v>
      </c>
      <c r="E14" s="52">
        <f>IFERROR('Historical FS'!E30,0)</f>
        <v>0.25450257030541273</v>
      </c>
      <c r="F14" s="52">
        <f>IFERROR('Historical FS'!F30,0)</f>
        <v>0.24239186703527882</v>
      </c>
      <c r="G14" s="52">
        <f>IFERROR('Historical FS'!G30,0)</f>
        <v>0.26502906282347322</v>
      </c>
      <c r="H14" s="52">
        <f>IFERROR('Historical FS'!H30,0)</f>
        <v>0.24753167106485477</v>
      </c>
      <c r="I14" s="52">
        <f>IFERROR('Historical FS'!I30,0)</f>
        <v>0.22704013845074164</v>
      </c>
      <c r="J14" s="52">
        <f>IFERROR('Historical FS'!J30,0)</f>
        <v>0.2341901477191384</v>
      </c>
      <c r="K14" s="52">
        <f>IFERROR('Historical FS'!K30,0)</f>
        <v>0.23073808209092583</v>
      </c>
      <c r="L14" s="52">
        <f>IFERROR('Historical FS'!L30,0)</f>
        <v>0.22387349566190876</v>
      </c>
      <c r="N14" s="52">
        <f t="shared" si="3"/>
        <v>0.2504048592615164</v>
      </c>
      <c r="O14" s="52">
        <f t="shared" si="2"/>
        <v>0.24496176905006678</v>
      </c>
    </row>
    <row r="15" spans="2:15" x14ac:dyDescent="0.3">
      <c r="B15" s="53" t="s">
        <v>164</v>
      </c>
      <c r="C15" s="54">
        <f>IFERROR('Historical FS'!C36,0)</f>
        <v>0.20958180012849717</v>
      </c>
      <c r="D15" s="54">
        <f>IFERROR('Historical FS'!D36,0)</f>
        <v>0.22729077451008195</v>
      </c>
      <c r="E15" s="54">
        <f>IFERROR('Historical FS'!E36,0)</f>
        <v>0.18639250075597219</v>
      </c>
      <c r="F15" s="54">
        <f>IFERROR('Historical FS'!F36,0)</f>
        <v>0.18326706391602693</v>
      </c>
      <c r="G15" s="54">
        <f>IFERROR('Historical FS'!G36,0)</f>
        <v>0.19331754120550998</v>
      </c>
      <c r="H15" s="54">
        <f>IFERROR('Historical FS'!H36,0)</f>
        <v>0.1820603250548746</v>
      </c>
      <c r="I15" s="54">
        <f>IFERROR('Historical FS'!I36,0)</f>
        <v>0.16426035825492105</v>
      </c>
      <c r="J15" s="54">
        <f>IFERROR('Historical FS'!J36,0)</f>
        <v>0.17080757467300059</v>
      </c>
      <c r="K15" s="54">
        <f>IFERROR('Historical FS'!K36,0)</f>
        <v>0.16412049819007302</v>
      </c>
      <c r="L15" s="54">
        <f>IFERROR('Historical FS'!L36,0)</f>
        <v>0.16498180800447804</v>
      </c>
      <c r="M15" s="63"/>
      <c r="N15" s="64">
        <f t="shared" si="3"/>
        <v>0.18460802446934357</v>
      </c>
      <c r="O15" s="64">
        <f t="shared" si="2"/>
        <v>0.18266369448545078</v>
      </c>
    </row>
    <row r="18" spans="2:15" x14ac:dyDescent="0.3">
      <c r="B18" s="50" t="s">
        <v>165</v>
      </c>
      <c r="C18" s="51">
        <f>IFERROR('Historical FS'!C16,0)</f>
        <v>7.6966882775538814E-2</v>
      </c>
      <c r="D18" s="51">
        <f>IFERROR('Historical FS'!D16,0)</f>
        <v>7.5224752559484978E-2</v>
      </c>
      <c r="E18" s="51">
        <f>IFERROR('Historical FS'!E16,0)</f>
        <v>8.5382521923193233E-2</v>
      </c>
      <c r="F18" s="51">
        <f>IFERROR('Historical FS'!F16,0)</f>
        <v>6.9544338095185648E-2</v>
      </c>
      <c r="G18" s="51">
        <f>IFERROR('Historical FS'!G16,0)</f>
        <v>4.0737717971176049E-2</v>
      </c>
      <c r="H18" s="51">
        <f>IFERROR('Historical FS'!H16,0)</f>
        <v>4.3825683774385282E-2</v>
      </c>
      <c r="I18" s="51">
        <f>IFERROR('Historical FS'!I16,0)</f>
        <v>4.6038959711651804E-2</v>
      </c>
      <c r="J18" s="51">
        <f>IFERROR('Historical FS'!J16,0)</f>
        <v>4.6951259191774584E-2</v>
      </c>
      <c r="K18" s="51">
        <f>IFERROR('Historical FS'!K16,0)</f>
        <v>4.3984293514939564E-2</v>
      </c>
      <c r="L18" s="51">
        <f>IFERROR('Historical FS'!L16,0)</f>
        <v>4.5412818359921635E-2</v>
      </c>
      <c r="M18" s="61"/>
      <c r="N18" s="62">
        <f t="shared" ref="N18:N20" si="4">IFERROR(AVERAGE(C18:L18),0)</f>
        <v>5.7406922787725148E-2</v>
      </c>
      <c r="O18" s="62">
        <f t="shared" ref="O18:O20" si="5">IFERROR(MEDIAN(C18:L18),0)</f>
        <v>4.6495109451713194E-2</v>
      </c>
    </row>
    <row r="19" spans="2:15" x14ac:dyDescent="0.3">
      <c r="B19" t="s">
        <v>166</v>
      </c>
      <c r="C19" s="52">
        <f>IFERROR('Historical FS'!C25,0)</f>
        <v>2.4867122247532271E-2</v>
      </c>
      <c r="D19" s="52">
        <f>IFERROR('Historical FS'!D25,0)</f>
        <v>2.6417288222115084E-2</v>
      </c>
      <c r="E19" s="52">
        <f>IFERROR('Historical FS'!E25,0)</f>
        <v>2.4324160870879952E-2</v>
      </c>
      <c r="F19" s="52">
        <f>IFERROR('Historical FS'!F25,0)</f>
        <v>3.1864391845006661E-2</v>
      </c>
      <c r="G19" s="52">
        <f>IFERROR('Historical FS'!G25,0)</f>
        <v>3.2516522016084085E-2</v>
      </c>
      <c r="H19" s="52">
        <f>IFERROR('Historical FS'!H25,0)</f>
        <v>2.8575891352422292E-2</v>
      </c>
      <c r="I19" s="52">
        <f>IFERROR('Historical FS'!I25,0)</f>
        <v>2.8787125171189708E-2</v>
      </c>
      <c r="J19" s="52">
        <f>IFERROR('Historical FS'!J25,0)</f>
        <v>3.0441855925034164E-2</v>
      </c>
      <c r="K19" s="52">
        <f>IFERROR('Historical FS'!K25,0)</f>
        <v>2.9523283637032948E-2</v>
      </c>
      <c r="L19" s="52">
        <f>IFERROR('Historical FS'!L25,0)</f>
        <v>2.7439126784214944E-2</v>
      </c>
      <c r="N19" s="52">
        <f t="shared" si="4"/>
        <v>2.8475676807151205E-2</v>
      </c>
      <c r="O19" s="52">
        <f t="shared" si="5"/>
        <v>2.8681508261806002E-2</v>
      </c>
    </row>
    <row r="20" spans="2:15" x14ac:dyDescent="0.3">
      <c r="B20" s="53" t="s">
        <v>167</v>
      </c>
      <c r="C20" s="54">
        <f>IFERROR(('Historical FS'!C18-'Historical FS'!C24)/'Historical FS'!C6,0)</f>
        <v>0.24678757081946148</v>
      </c>
      <c r="D20" s="54">
        <f>IFERROR(('Historical FS'!D18-'Historical FS'!D24)/'Historical FS'!D6,0)</f>
        <v>0.24047814866282863</v>
      </c>
      <c r="E20" s="54">
        <f>IFERROR(('Historical FS'!E18-'Historical FS'!E24)/'Historical FS'!E6,0)</f>
        <v>0.2196431811309344</v>
      </c>
      <c r="F20" s="54">
        <f>IFERROR(('Historical FS'!F18-'Historical FS'!F24)/'Historical FS'!F6,0)</f>
        <v>0.21339119516251612</v>
      </c>
      <c r="G20" s="54">
        <f>IFERROR(('Historical FS'!G18-'Historical FS'!G24)/'Historical FS'!G6,0)</f>
        <v>0.24506330121824987</v>
      </c>
      <c r="H20" s="54">
        <f>IFERROR(('Historical FS'!H18-'Historical FS'!H24)/'Historical FS'!H6,0)</f>
        <v>0.23030885967724699</v>
      </c>
      <c r="I20" s="54">
        <f>IFERROR(('Historical FS'!I18-'Historical FS'!I24)/'Historical FS'!I6,0)</f>
        <v>0.21057185879659596</v>
      </c>
      <c r="J20" s="54">
        <f>IFERROR(('Historical FS'!J18-'Historical FS'!J24)/'Historical FS'!J6,0)</f>
        <v>0.20659204789483959</v>
      </c>
      <c r="K20" s="54">
        <f>IFERROR(('Historical FS'!K18-'Historical FS'!K24)/'Historical FS'!K6,0)</f>
        <v>0.21120314129701209</v>
      </c>
      <c r="L20" s="54">
        <f>IFERROR(('Historical FS'!L18-'Historical FS'!L24)/'Historical FS'!L6,0)</f>
        <v>0.20922474111390987</v>
      </c>
      <c r="M20" s="63"/>
      <c r="N20" s="64">
        <f t="shared" si="4"/>
        <v>0.22332640457735947</v>
      </c>
      <c r="O20" s="64">
        <f t="shared" si="5"/>
        <v>0.21651718814672527</v>
      </c>
    </row>
    <row r="22" spans="2:15" x14ac:dyDescent="0.3">
      <c r="B22" s="50" t="s">
        <v>168</v>
      </c>
      <c r="C22" s="51">
        <f>IFERROR(('Historical FS'!C18-'Historical FS'!C24)/(SUM('Historical FS'!C49:C51)),0)</f>
        <v>0.24500594357948449</v>
      </c>
      <c r="D22" s="51">
        <f>IFERROR(('Historical FS'!D18-'Historical FS'!D24)/(SUM('Historical FS'!D49:D51)),0)</f>
        <v>0.26121713414352388</v>
      </c>
      <c r="E22" s="51">
        <f>IFERROR(('Historical FS'!E18-'Historical FS'!E24)/(SUM('Historical FS'!E49:E51)),0)</f>
        <v>0.27959290509330542</v>
      </c>
      <c r="F22" s="51">
        <f>IFERROR(('Historical FS'!F18-'Historical FS'!F24)/(SUM('Historical FS'!F49:F51)),0)</f>
        <v>0.27644364539189248</v>
      </c>
      <c r="G22" s="51">
        <f>IFERROR(('Historical FS'!G18-'Historical FS'!G24)/(SUM('Historical FS'!G49:G51)),0)</f>
        <v>0.30145942504530093</v>
      </c>
      <c r="H22" s="51">
        <f>IFERROR(('Historical FS'!H18-'Historical FS'!H24)/(SUM('Historical FS'!H49:H51)),0)</f>
        <v>0.34661734138374739</v>
      </c>
      <c r="I22" s="51">
        <f>IFERROR(('Historical FS'!I18-'Historical FS'!I24)/(SUM('Historical FS'!I49:I51)),0)</f>
        <v>0.36920889780899818</v>
      </c>
      <c r="J22" s="51">
        <f>IFERROR(('Historical FS'!J18-'Historical FS'!J24)/(SUM('Historical FS'!J49:J51)),0)</f>
        <v>0.32906970717802542</v>
      </c>
      <c r="K22" s="51">
        <f>IFERROR(('Historical FS'!K18-'Historical FS'!K24)/(SUM('Historical FS'!K49:K51)),0)</f>
        <v>0.33085684079004279</v>
      </c>
      <c r="L22" s="51">
        <f>IFERROR(('Historical FS'!L18-'Historical FS'!L24)/(SUM('Historical FS'!L49:L51)),0)</f>
        <v>0.36635041361194964</v>
      </c>
      <c r="M22" s="61"/>
      <c r="N22" s="62">
        <f t="shared" ref="N22:N26" si="6">IFERROR(AVERAGE(C22:L22),0)</f>
        <v>0.31058222540262709</v>
      </c>
      <c r="O22" s="62">
        <f t="shared" ref="O22:O26" si="7">IFERROR(MEDIAN(C22:L22),0)</f>
        <v>0.3152645661116632</v>
      </c>
    </row>
    <row r="23" spans="2:15" x14ac:dyDescent="0.3">
      <c r="B23" t="s">
        <v>169</v>
      </c>
      <c r="C23" s="52">
        <f>IFERROR('Historical FS'!C46,0)</f>
        <v>0.58952135442067854</v>
      </c>
      <c r="D23" s="52">
        <f>IFERROR('Historical FS'!D46,0)</f>
        <v>0.40947033501778018</v>
      </c>
      <c r="E23" s="52">
        <f>IFERROR('Historical FS'!E46,0)</f>
        <v>0.40152498377676826</v>
      </c>
      <c r="F23" s="52">
        <f>IFERROR('Historical FS'!F46,0)</f>
        <v>0.55363904080774073</v>
      </c>
      <c r="G23" s="52">
        <f>IFERROR('Historical FS'!G46,0)</f>
        <v>0.40948360191525501</v>
      </c>
      <c r="H23" s="52">
        <f>IFERROR('Historical FS'!H46,0)</f>
        <v>0.41264336674794544</v>
      </c>
      <c r="I23" s="52">
        <f>IFERROR('Historical FS'!I46,0)</f>
        <v>0.41640949062551846</v>
      </c>
      <c r="J23" s="52">
        <f>IFERROR('Historical FS'!J46,0)</f>
        <v>0.27410850350502891</v>
      </c>
      <c r="K23" s="52">
        <f>IFERROR('Historical FS'!K46,0)</f>
        <v>0.33354018691588794</v>
      </c>
      <c r="L23" s="52">
        <f>IFERROR('Historical FS'!L46,0)</f>
        <v>0.34076134898554644</v>
      </c>
      <c r="N23" s="52">
        <f t="shared" si="6"/>
        <v>0.41411022127181496</v>
      </c>
      <c r="O23" s="52">
        <f t="shared" si="7"/>
        <v>0.4094769684665176</v>
      </c>
    </row>
    <row r="24" spans="2:15" x14ac:dyDescent="0.3">
      <c r="B24" t="s">
        <v>170</v>
      </c>
      <c r="C24" s="52">
        <f>IFERROR('Historical FS'!C35/SUM('Historical FS'!C49:C50),0)</f>
        <v>0.20806877156359629</v>
      </c>
      <c r="D24" s="52">
        <f>IFERROR('Historical FS'!D35/SUM('Historical FS'!D49:D50),0)</f>
        <v>0.24689247262141306</v>
      </c>
      <c r="E24" s="52">
        <f>IFERROR('Historical FS'!E35/SUM('Historical FS'!E49:E50),0)</f>
        <v>0.23726673646609595</v>
      </c>
      <c r="F24" s="52">
        <f>IFERROR('Historical FS'!F35/SUM('Historical FS'!F49:F50),0)</f>
        <v>0.25422459893048127</v>
      </c>
      <c r="G24" s="52">
        <f>IFERROR('Historical FS'!G35/SUM('Historical FS'!G49:G50),0)</f>
        <v>0.2543909051616875</v>
      </c>
      <c r="H24" s="52">
        <f>IFERROR('Historical FS'!H35/SUM('Historical FS'!H49:H50),0)</f>
        <v>0.29390842733908429</v>
      </c>
      <c r="I24" s="52">
        <f>IFERROR('Historical FS'!I35/SUM('Historical FS'!I49:I50),0)</f>
        <v>0.31970506716883046</v>
      </c>
      <c r="J24" s="52">
        <f>IFERROR('Historical FS'!J35/SUM('Historical FS'!J49:J50),0)</f>
        <v>0.29788006718416632</v>
      </c>
      <c r="K24" s="52">
        <f>IFERROR('Historical FS'!K35/SUM('Historical FS'!K49:K50),0)</f>
        <v>0.27917510279905655</v>
      </c>
      <c r="L24" s="52">
        <f>IFERROR('Historical FS'!L35/SUM('Historical FS'!L49:L50),0)</f>
        <v>0.31742988842458969</v>
      </c>
      <c r="N24" s="52">
        <f t="shared" si="6"/>
        <v>0.27089420376590018</v>
      </c>
      <c r="O24" s="52">
        <f t="shared" si="7"/>
        <v>0.26678300398037202</v>
      </c>
    </row>
    <row r="25" spans="2:15" x14ac:dyDescent="0.3">
      <c r="B25" t="s">
        <v>171</v>
      </c>
      <c r="C25" s="52">
        <f>IFERROR(C23*C24,0)</f>
        <v>0.12266098402481805</v>
      </c>
      <c r="D25" s="52">
        <f t="shared" ref="D25:L25" si="8">IFERROR(D23*D24,0)</f>
        <v>0.10109514347765813</v>
      </c>
      <c r="E25" s="52">
        <f t="shared" si="8"/>
        <v>9.5268522510315923E-2</v>
      </c>
      <c r="F25" s="52">
        <f t="shared" si="8"/>
        <v>0.14074866310160425</v>
      </c>
      <c r="G25" s="52">
        <f t="shared" si="8"/>
        <v>0.10416890414008984</v>
      </c>
      <c r="H25" s="52">
        <f t="shared" si="8"/>
        <v>0.12127936297279363</v>
      </c>
      <c r="I25" s="52">
        <f t="shared" si="8"/>
        <v>0.13312822417016987</v>
      </c>
      <c r="J25" s="52">
        <f t="shared" si="8"/>
        <v>8.1651459439829308E-2</v>
      </c>
      <c r="K25" s="52">
        <f t="shared" si="8"/>
        <v>9.3116115969859553E-2</v>
      </c>
      <c r="L25" s="52">
        <f t="shared" si="8"/>
        <v>0.10816783698789467</v>
      </c>
      <c r="N25" s="52">
        <f t="shared" si="6"/>
        <v>0.11012852167950334</v>
      </c>
      <c r="O25" s="52">
        <f t="shared" si="7"/>
        <v>0.10616837056399225</v>
      </c>
    </row>
    <row r="26" spans="2:15" x14ac:dyDescent="0.3">
      <c r="B26" s="53" t="s">
        <v>172</v>
      </c>
      <c r="C26" s="55">
        <f>IFERROR(('Historical FS'!C18-'Historical FS'!C24)/'Historical FS'!C21,0)</f>
        <v>0</v>
      </c>
      <c r="D26" s="55">
        <f>IFERROR(('Historical FS'!D18-'Historical FS'!D24)/'Historical FS'!D21,0)</f>
        <v>0</v>
      </c>
      <c r="E26" s="55">
        <f>IFERROR(('Historical FS'!E18-'Historical FS'!E24)/'Historical FS'!E21,0)</f>
        <v>0</v>
      </c>
      <c r="F26" s="55">
        <f>IFERROR(('Historical FS'!F18-'Historical FS'!F24)/'Historical FS'!F21,0)</f>
        <v>113.96470588235294</v>
      </c>
      <c r="G26" s="55">
        <f>IFERROR(('Historical FS'!G18-'Historical FS'!G24)/'Historical FS'!G21,0)</f>
        <v>126.26666666666667</v>
      </c>
      <c r="H26" s="55">
        <f>IFERROR(('Historical FS'!H18-'Historical FS'!H24)/'Historical FS'!H21,0)</f>
        <v>140.07499999999999</v>
      </c>
      <c r="I26" s="55">
        <f>IFERROR(('Historical FS'!I18-'Historical FS'!I24)/'Historical FS'!I21,0)</f>
        <v>108.82042253521126</v>
      </c>
      <c r="J26" s="55">
        <f>IFERROR(('Historical FS'!J18-'Historical FS'!J24)/'Historical FS'!J21,0)</f>
        <v>67.5468085106383</v>
      </c>
      <c r="K26" s="55">
        <f>IFERROR(('Historical FS'!K18-'Historical FS'!K24)/'Historical FS'!K21,0)</f>
        <v>82.75</v>
      </c>
      <c r="L26" s="55">
        <f>IFERROR(('Historical FS'!L18-'Historical FS'!L24)/'Historical FS'!L21,0)</f>
        <v>89.850961538461533</v>
      </c>
      <c r="M26" s="63"/>
      <c r="N26" s="64">
        <f t="shared" si="6"/>
        <v>72.92745651333307</v>
      </c>
      <c r="O26" s="64">
        <f t="shared" si="7"/>
        <v>86.300480769230774</v>
      </c>
    </row>
    <row r="28" spans="2:15" x14ac:dyDescent="0.3">
      <c r="B28" s="50" t="s">
        <v>173</v>
      </c>
      <c r="C28" s="56">
        <f>IFERROR('Historical FS'!C6/'Historical FS'!C61,0)</f>
        <v>5.5578639831196233</v>
      </c>
      <c r="D28" s="56">
        <f>IFERROR('Historical FS'!D6/'Historical FS'!D61,0)</f>
        <v>5.3661543144118093</v>
      </c>
      <c r="E28" s="56">
        <f>IFERROR('Historical FS'!E6/'Historical FS'!E61,0)</f>
        <v>5.5759762595265396</v>
      </c>
      <c r="F28" s="56">
        <f>IFERROR('Historical FS'!F6/'Historical FS'!F61,0)</f>
        <v>4.9110726456428839</v>
      </c>
      <c r="G28" s="56">
        <f>IFERROR('Historical FS'!G6/'Historical FS'!G61,0)</f>
        <v>5.2074219964755883</v>
      </c>
      <c r="H28" s="56">
        <f>IFERROR('Historical FS'!H6/'Historical FS'!H61,0)</f>
        <v>5.3591065292096216</v>
      </c>
      <c r="I28" s="56">
        <f>IFERROR('Historical FS'!I6/'Historical FS'!I61,0)</f>
        <v>5.7727737570799249</v>
      </c>
      <c r="J28" s="56">
        <f>IFERROR('Historical FS'!J6/'Historical FS'!J61,0)</f>
        <v>5.0895903023879709</v>
      </c>
      <c r="K28" s="56">
        <f>IFERROR('Historical FS'!K6/'Historical FS'!K61,0)</f>
        <v>5.2310803004043906</v>
      </c>
      <c r="L28" s="56">
        <f>IFERROR('Historical FS'!L6/'Historical FS'!L61,0)</f>
        <v>5.0703865584378729</v>
      </c>
      <c r="M28" s="61"/>
      <c r="N28" s="65">
        <f t="shared" ref="N28:N32" si="9">IFERROR(AVERAGE(C28:L28),0)</f>
        <v>5.3141426646696228</v>
      </c>
      <c r="O28" s="65">
        <f t="shared" ref="O28:O32" si="10">IFERROR(MEDIAN(C28:L28),0)</f>
        <v>5.2950934148070061</v>
      </c>
    </row>
    <row r="29" spans="2:15" x14ac:dyDescent="0.3">
      <c r="B29" t="s">
        <v>174</v>
      </c>
      <c r="C29" s="57">
        <f>IFERROR('Historical FS'!C6/'Historical FS'!C52,0)</f>
        <v>4.8343922066920797</v>
      </c>
      <c r="D29" s="57">
        <f>IFERROR('Historical FS'!D6/'Historical FS'!D52,0)</f>
        <v>4.8885345903230277</v>
      </c>
      <c r="E29" s="57">
        <f>IFERROR('Historical FS'!E6/'Historical FS'!E52,0)</f>
        <v>4.3244586253792239</v>
      </c>
      <c r="F29" s="57">
        <f>IFERROR('Historical FS'!F6/'Historical FS'!F52,0)</f>
        <v>4.1806418934475298</v>
      </c>
      <c r="G29" s="57">
        <f>IFERROR('Historical FS'!G6/'Historical FS'!G52,0)</f>
        <v>3.8889878072382427</v>
      </c>
      <c r="H29" s="57">
        <f>IFERROR('Historical FS'!H6/'Historical FS'!H52,0)</f>
        <v>3.3878568444506336</v>
      </c>
      <c r="I29" s="57">
        <f>IFERROR('Historical FS'!I6/'Historical FS'!I52,0)</f>
        <v>3.5893127904133042</v>
      </c>
      <c r="J29" s="57">
        <f>IFERROR('Historical FS'!J6/'Historical FS'!J52,0)</f>
        <v>3.8859527121001389</v>
      </c>
      <c r="K29" s="57">
        <f>IFERROR('Historical FS'!K6/'Historical FS'!K52,0)</f>
        <v>3.7254857142857141</v>
      </c>
      <c r="L29" s="57">
        <f>IFERROR('Historical FS'!L6/'Historical FS'!L52,0)</f>
        <v>3.4184845005740527</v>
      </c>
      <c r="N29" s="57">
        <f t="shared" si="9"/>
        <v>4.0124107684903949</v>
      </c>
      <c r="O29" s="57">
        <f t="shared" si="10"/>
        <v>3.8874702596691906</v>
      </c>
    </row>
    <row r="30" spans="2:15" x14ac:dyDescent="0.3">
      <c r="B30" t="s">
        <v>175</v>
      </c>
      <c r="C30" s="57">
        <f>IFERROR('Historical FS'!C6/'Historical FS'!C62,0)</f>
        <v>0</v>
      </c>
      <c r="D30" s="57">
        <f>IFERROR('Historical FS'!D6/'Historical FS'!D62,0)</f>
        <v>0</v>
      </c>
      <c r="E30" s="57">
        <f>IFERROR('Historical FS'!E6/'Historical FS'!E62,0)</f>
        <v>0</v>
      </c>
      <c r="F30" s="57">
        <f>IFERROR('Historical FS'!F6/'Historical FS'!F62,0)</f>
        <v>0</v>
      </c>
      <c r="G30" s="57">
        <f>IFERROR('Historical FS'!G6/'Historical FS'!G62,0)</f>
        <v>0</v>
      </c>
      <c r="H30" s="57">
        <f>IFERROR('Historical FS'!H6/'Historical FS'!H62,0)</f>
        <v>0</v>
      </c>
      <c r="I30" s="57">
        <f>IFERROR('Historical FS'!I6/'Historical FS'!I62,0)</f>
        <v>0</v>
      </c>
      <c r="J30" s="57">
        <f>IFERROR('Historical FS'!J6/'Historical FS'!J62,0)</f>
        <v>0</v>
      </c>
      <c r="K30" s="57">
        <f>IFERROR('Historical FS'!K6/'Historical FS'!K62,0)</f>
        <v>0</v>
      </c>
      <c r="L30" s="57">
        <f>IFERROR('Historical FS'!L6/'Historical FS'!L62,0)</f>
        <v>0</v>
      </c>
      <c r="N30" s="57">
        <f t="shared" si="9"/>
        <v>0</v>
      </c>
      <c r="O30" s="57">
        <f t="shared" si="10"/>
        <v>0</v>
      </c>
    </row>
    <row r="31" spans="2:15" x14ac:dyDescent="0.3">
      <c r="B31" t="s">
        <v>176</v>
      </c>
      <c r="C31" s="57">
        <f>IFERROR('Historical FS'!C6/'Historical FS'!C55,0)</f>
        <v>4.8299597997037873</v>
      </c>
      <c r="D31" s="57">
        <f>IFERROR('Historical FS'!D6/'Historical FS'!D55,0)</f>
        <v>5.6085573405439799</v>
      </c>
      <c r="E31" s="57">
        <f>IFERROR('Historical FS'!E6/'Historical FS'!E55,0)</f>
        <v>5.2625716104392106</v>
      </c>
      <c r="F31" s="57">
        <f>IFERROR('Historical FS'!F6/'Historical FS'!F55,0)</f>
        <v>3.8165118332002188</v>
      </c>
      <c r="G31" s="57">
        <f>IFERROR('Historical FS'!G6/'Historical FS'!G55,0)</f>
        <v>3.9393060184277591</v>
      </c>
      <c r="H31" s="57">
        <f>IFERROR('Historical FS'!H6/'Historical FS'!H55,0)</f>
        <v>4.7147674418604648</v>
      </c>
      <c r="I31" s="57">
        <f>IFERROR('Historical FS'!I6/'Historical FS'!I55,0)</f>
        <v>5.0219674935842598</v>
      </c>
      <c r="J31" s="57">
        <f>IFERROR('Historical FS'!J6/'Historical FS'!J55,0)</f>
        <v>5.5633190934762142</v>
      </c>
      <c r="K31" s="57">
        <f>IFERROR('Historical FS'!K6/'Historical FS'!K55,0)</f>
        <v>5.2643648460967025</v>
      </c>
      <c r="L31" s="57">
        <f>IFERROR('Historical FS'!L6/'Historical FS'!L55,0)</f>
        <v>5.2901984009475864</v>
      </c>
      <c r="N31" s="57">
        <f t="shared" si="9"/>
        <v>4.9311523878280195</v>
      </c>
      <c r="O31" s="57">
        <f t="shared" si="10"/>
        <v>5.1422695520117347</v>
      </c>
    </row>
    <row r="32" spans="2:15" x14ac:dyDescent="0.3">
      <c r="B32" s="53" t="s">
        <v>177</v>
      </c>
      <c r="C32" s="55">
        <f>IFERROR('Historical FS'!C6/SUM('Historical FS'!C49:C50),0)</f>
        <v>0.99278072540662776</v>
      </c>
      <c r="D32" s="55">
        <f>IFERROR('Historical FS'!D6/SUM('Historical FS'!D49:D50),0)</f>
        <v>1.0862406235078477</v>
      </c>
      <c r="E32" s="55">
        <f>IFERROR('Historical FS'!E6/SUM('Historical FS'!E49:E50),0)</f>
        <v>1.2729414300671307</v>
      </c>
      <c r="F32" s="55">
        <f>IFERROR('Historical FS'!F6/SUM('Historical FS'!F49:F50),0)</f>
        <v>1.3871810542398777</v>
      </c>
      <c r="G32" s="55">
        <f>IFERROR('Historical FS'!G6/SUM('Historical FS'!G49:G50),0)</f>
        <v>1.3159225157496299</v>
      </c>
      <c r="H32" s="55">
        <f>IFERROR('Historical FS'!H6/SUM('Historical FS'!H49:H50),0)</f>
        <v>1.6143463835434639</v>
      </c>
      <c r="I32" s="55">
        <f>IFERROR('Historical FS'!I6/SUM('Historical FS'!I49:I50),0)</f>
        <v>1.9463312424575967</v>
      </c>
      <c r="J32" s="55">
        <f>IFERROR('Historical FS'!J6/SUM('Historical FS'!J49:J50),0)</f>
        <v>1.7439511552952927</v>
      </c>
      <c r="K32" s="55">
        <f>IFERROR('Historical FS'!K6/SUM('Historical FS'!K49:K50),0)</f>
        <v>1.701037383372644</v>
      </c>
      <c r="L32" s="55">
        <f>IFERROR('Historical FS'!L6/SUM('Historical FS'!L49:L50),0)</f>
        <v>1.9240296385645974</v>
      </c>
      <c r="M32" s="63"/>
      <c r="N32" s="66">
        <f t="shared" si="9"/>
        <v>1.4984762152204707</v>
      </c>
      <c r="O32" s="66">
        <f t="shared" si="10"/>
        <v>1.5007637188916707</v>
      </c>
    </row>
    <row r="34" spans="2:15" x14ac:dyDescent="0.3">
      <c r="B34" s="50" t="s">
        <v>178</v>
      </c>
      <c r="C34" s="58">
        <f>IFERROR(365/C28,0)</f>
        <v>65.672711874306415</v>
      </c>
      <c r="D34" s="58">
        <f t="shared" ref="D34:L34" si="11">IFERROR(365/D28,0)</f>
        <v>68.018916082924477</v>
      </c>
      <c r="E34" s="58">
        <f t="shared" si="11"/>
        <v>65.459389174478375</v>
      </c>
      <c r="F34" s="58">
        <f t="shared" si="11"/>
        <v>74.321849081957467</v>
      </c>
      <c r="G34" s="58">
        <f t="shared" si="11"/>
        <v>70.092264511505689</v>
      </c>
      <c r="H34" s="58">
        <f t="shared" si="11"/>
        <v>68.108368066688044</v>
      </c>
      <c r="I34" s="58">
        <f t="shared" si="11"/>
        <v>63.227837320378555</v>
      </c>
      <c r="J34" s="58">
        <f t="shared" si="11"/>
        <v>71.715006182078483</v>
      </c>
      <c r="K34" s="58">
        <f t="shared" si="11"/>
        <v>69.775262286029815</v>
      </c>
      <c r="L34" s="58">
        <f t="shared" si="11"/>
        <v>71.986621886369988</v>
      </c>
      <c r="M34" s="61"/>
      <c r="N34" s="67">
        <f t="shared" ref="N34:N37" si="12">IFERROR(AVERAGE(C34:L34),0)</f>
        <v>68.837822646671739</v>
      </c>
      <c r="O34" s="67">
        <f t="shared" ref="O34:O37" si="13">IFERROR(MEDIAN(C34:L34),0)</f>
        <v>68.941815176358929</v>
      </c>
    </row>
    <row r="35" spans="2:15" x14ac:dyDescent="0.3">
      <c r="B35" t="s">
        <v>179</v>
      </c>
      <c r="C35" s="59">
        <f>IFERROR(365/C29,0)</f>
        <v>75.50070089363939</v>
      </c>
      <c r="D35" s="59">
        <f t="shared" ref="D35:L35" si="14">IFERROR(365/D29,0)</f>
        <v>74.664501857576354</v>
      </c>
      <c r="E35" s="59">
        <f t="shared" si="14"/>
        <v>84.403628666465067</v>
      </c>
      <c r="F35" s="59">
        <f t="shared" si="14"/>
        <v>87.307167009945914</v>
      </c>
      <c r="G35" s="59">
        <f t="shared" si="14"/>
        <v>93.854755553786134</v>
      </c>
      <c r="H35" s="59">
        <f t="shared" si="14"/>
        <v>107.73772823307931</v>
      </c>
      <c r="I35" s="59">
        <f t="shared" si="14"/>
        <v>101.69077517425579</v>
      </c>
      <c r="J35" s="59">
        <f t="shared" si="14"/>
        <v>93.928060128847534</v>
      </c>
      <c r="K35" s="59">
        <f t="shared" si="14"/>
        <v>97.973802073746867</v>
      </c>
      <c r="L35" s="59">
        <f t="shared" si="14"/>
        <v>106.77246011754828</v>
      </c>
      <c r="N35" s="59">
        <f t="shared" si="12"/>
        <v>92.38335797088908</v>
      </c>
      <c r="O35" s="59">
        <f t="shared" si="13"/>
        <v>93.891407841316834</v>
      </c>
    </row>
    <row r="36" spans="2:15" x14ac:dyDescent="0.3">
      <c r="B36" t="s">
        <v>180</v>
      </c>
      <c r="C36" s="59">
        <f>IFERROR(365/C30,0)</f>
        <v>0</v>
      </c>
      <c r="D36" s="59">
        <f t="shared" ref="D36:L36" si="15">IFERROR(365/D30,0)</f>
        <v>0</v>
      </c>
      <c r="E36" s="59">
        <f t="shared" si="15"/>
        <v>0</v>
      </c>
      <c r="F36" s="59">
        <f t="shared" si="15"/>
        <v>0</v>
      </c>
      <c r="G36" s="59">
        <f t="shared" si="15"/>
        <v>0</v>
      </c>
      <c r="H36" s="59">
        <f t="shared" si="15"/>
        <v>0</v>
      </c>
      <c r="I36" s="59">
        <f t="shared" si="15"/>
        <v>0</v>
      </c>
      <c r="J36" s="59">
        <f t="shared" si="15"/>
        <v>0</v>
      </c>
      <c r="K36" s="59">
        <f t="shared" si="15"/>
        <v>0</v>
      </c>
      <c r="L36" s="59">
        <f t="shared" si="15"/>
        <v>0</v>
      </c>
      <c r="N36" s="59">
        <f t="shared" si="12"/>
        <v>0</v>
      </c>
      <c r="O36" s="59">
        <f t="shared" si="13"/>
        <v>0</v>
      </c>
    </row>
    <row r="37" spans="2:15" x14ac:dyDescent="0.3">
      <c r="B37" s="53" t="s">
        <v>181</v>
      </c>
      <c r="C37" s="60">
        <f>IFERROR(SUM(C34,C36)-C35,0)</f>
        <v>-9.8279890193329749</v>
      </c>
      <c r="D37" s="60">
        <f t="shared" ref="D37:L37" si="16">IFERROR(SUM(D34,D36)-D35,0)</f>
        <v>-6.6455857746518774</v>
      </c>
      <c r="E37" s="60">
        <f t="shared" si="16"/>
        <v>-18.944239491986693</v>
      </c>
      <c r="F37" s="60">
        <f t="shared" si="16"/>
        <v>-12.985317927988447</v>
      </c>
      <c r="G37" s="60">
        <f t="shared" si="16"/>
        <v>-23.762491042280445</v>
      </c>
      <c r="H37" s="60">
        <f t="shared" si="16"/>
        <v>-39.629360166391265</v>
      </c>
      <c r="I37" s="60">
        <f t="shared" si="16"/>
        <v>-38.462937853877236</v>
      </c>
      <c r="J37" s="60">
        <f t="shared" si="16"/>
        <v>-22.213053946769051</v>
      </c>
      <c r="K37" s="60">
        <f t="shared" si="16"/>
        <v>-28.198539787717053</v>
      </c>
      <c r="L37" s="60">
        <f t="shared" si="16"/>
        <v>-34.785838231178289</v>
      </c>
      <c r="M37" s="63"/>
      <c r="N37" s="68">
        <f t="shared" si="12"/>
        <v>-23.545535324217333</v>
      </c>
      <c r="O37" s="68">
        <f t="shared" si="13"/>
        <v>-22.987772494524748</v>
      </c>
    </row>
    <row r="39" spans="2:15" x14ac:dyDescent="0.3">
      <c r="B39" s="50" t="s">
        <v>182</v>
      </c>
      <c r="C39" s="51">
        <f>IFERROR('Historical FS'!C72/'Historical FS'!C6,0)</f>
        <v>0.16837509491268032</v>
      </c>
      <c r="D39" s="51">
        <f>IFERROR('Historical FS'!D72/'Historical FS'!D6,0)</f>
        <v>0.18743087263548963</v>
      </c>
      <c r="E39" s="51">
        <f>IFERROR('Historical FS'!E72/'Historical FS'!E6,0)</f>
        <v>0.179510130027215</v>
      </c>
      <c r="F39" s="51">
        <f>IFERROR('Historical FS'!F72/'Historical FS'!F6,0)</f>
        <v>0.18727627187716844</v>
      </c>
      <c r="G39" s="51">
        <f>IFERROR('Historical FS'!G72/'Historical FS'!G6,0)</f>
        <v>0.23114897682936539</v>
      </c>
      <c r="H39" s="51">
        <f>IFERROR('Historical FS'!H72/'Historical FS'!H6,0)</f>
        <v>0.1963564916434426</v>
      </c>
      <c r="I39" s="51">
        <f>IFERROR('Historical FS'!I72/'Historical FS'!I6,0)</f>
        <v>0.15307937070322347</v>
      </c>
      <c r="J39" s="51">
        <f>IFERROR('Historical FS'!J72/'Historical FS'!J6,0)</f>
        <v>0.16405284050237523</v>
      </c>
      <c r="K39" s="51">
        <f>IFERROR('Historical FS'!K72/'Historical FS'!K6,0)</f>
        <v>0.21899503036996135</v>
      </c>
      <c r="L39" s="51">
        <f>IFERROR('Historical FS'!L72/'Historical FS'!L6,0)</f>
        <v>0.19023789532605653</v>
      </c>
      <c r="M39" s="61"/>
      <c r="N39" s="62">
        <f t="shared" ref="N39:N41" si="17">IFERROR(AVERAGE(C39:L39),0)</f>
        <v>0.18764629748269779</v>
      </c>
      <c r="O39" s="62">
        <f t="shared" ref="O39:O41" si="18">IFERROR(MEDIAN(C39:L39),0)</f>
        <v>0.18735357225632904</v>
      </c>
    </row>
    <row r="40" spans="2:15" x14ac:dyDescent="0.3">
      <c r="B40" t="s">
        <v>183</v>
      </c>
      <c r="C40" s="52">
        <f>IFERROR('Historical FS'!C72/'Historical FS'!C66,0)</f>
        <v>0.13868042526579111</v>
      </c>
      <c r="D40" s="52">
        <f>IFERROR('Historical FS'!D72/'Historical FS'!D66,0)</f>
        <v>0.16658054921927182</v>
      </c>
      <c r="E40" s="52">
        <f>IFERROR('Historical FS'!E72/'Historical FS'!E66,0)</f>
        <v>0.17653986153736351</v>
      </c>
      <c r="F40" s="52">
        <f>IFERROR('Historical FS'!F72/'Historical FS'!F66,0)</f>
        <v>0.18521786492374728</v>
      </c>
      <c r="G40" s="52">
        <f>IFERROR('Historical FS'!G72/'Historical FS'!G66,0)</f>
        <v>0.21601510543107216</v>
      </c>
      <c r="H40" s="52">
        <f>IFERROR('Historical FS'!H72/'Historical FS'!H66,0)</f>
        <v>0.20461924628841163</v>
      </c>
      <c r="I40" s="52">
        <f>IFERROR('Historical FS'!I72/'Historical FS'!I66,0)</f>
        <v>0.18031879033034767</v>
      </c>
      <c r="J40" s="52">
        <f>IFERROR('Historical FS'!J72/'Historical FS'!J66,0)</f>
        <v>0.18534039111895309</v>
      </c>
      <c r="K40" s="52">
        <f>IFERROR('Historical FS'!K72/'Historical FS'!K66,0)</f>
        <v>0.24151019993910483</v>
      </c>
      <c r="L40" s="52">
        <f>IFERROR('Historical FS'!L72/'Historical FS'!L66,0)</f>
        <v>0.22027636627605518</v>
      </c>
      <c r="N40" s="52">
        <f t="shared" si="17"/>
        <v>0.19150988003301184</v>
      </c>
      <c r="O40" s="52">
        <f t="shared" si="18"/>
        <v>0.18527912802135019</v>
      </c>
    </row>
    <row r="41" spans="2:15" x14ac:dyDescent="0.3">
      <c r="B41" s="53" t="s">
        <v>184</v>
      </c>
      <c r="C41" s="54">
        <f>IFERROR('Historical FS'!C72/'Historical FS'!C51,0)</f>
        <v>0</v>
      </c>
      <c r="D41" s="54">
        <f>IFERROR('Historical FS'!D72/'Historical FS'!D51,0)</f>
        <v>0</v>
      </c>
      <c r="E41" s="54">
        <f>IFERROR('Historical FS'!E72/'Historical FS'!E51,0)</f>
        <v>0</v>
      </c>
      <c r="F41" s="54">
        <f>IFERROR('Historical FS'!F72/'Historical FS'!F51,0)</f>
        <v>3.6699762572846968</v>
      </c>
      <c r="G41" s="54">
        <f>IFERROR('Historical FS'!G72/'Historical FS'!G51,0)</f>
        <v>4.36131455399061</v>
      </c>
      <c r="H41" s="54">
        <f>IFERROR('Historical FS'!H72/'Historical FS'!H51,0)</f>
        <v>4.3633540372670812</v>
      </c>
      <c r="I41" s="54">
        <f>IFERROR('Historical FS'!I72/'Historical FS'!I51,0)</f>
        <v>2.7071936377876851</v>
      </c>
      <c r="J41" s="54">
        <f>IFERROR('Historical FS'!J72/'Historical FS'!J51,0)</f>
        <v>3.0159109941380549</v>
      </c>
      <c r="K41" s="54">
        <f>IFERROR('Historical FS'!K72/'Historical FS'!K51,0)</f>
        <v>4.3386410599246386</v>
      </c>
      <c r="L41" s="54">
        <f>IFERROR('Historical FS'!L72/'Historical FS'!L51,0)</f>
        <v>3.7037925021795988</v>
      </c>
      <c r="M41" s="63"/>
      <c r="N41" s="64">
        <f t="shared" si="17"/>
        <v>2.6160183042572367</v>
      </c>
      <c r="O41" s="64">
        <f t="shared" si="18"/>
        <v>3.342943625711376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E07FE272-B030-4DE9-BD2F-5C92B04AED04}">
          <x14:colorSeries theme="7" tint="0.59999389629810485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 '!C11:L11</xm:f>
              <xm:sqref>M11</xm:sqref>
            </x14:sparkline>
            <x14:sparkline>
              <xm:f>'Ratio Analysis '!C12:L12</xm:f>
              <xm:sqref>M12</xm:sqref>
            </x14:sparkline>
            <x14:sparkline>
              <xm:f>'Ratio Analysis '!C13:L13</xm:f>
              <xm:sqref>M13</xm:sqref>
            </x14:sparkline>
            <x14:sparkline>
              <xm:f>'Ratio Analysis '!C14:L14</xm:f>
              <xm:sqref>M14</xm:sqref>
            </x14:sparkline>
            <x14:sparkline>
              <xm:f>'Ratio Analysis '!C15:L15</xm:f>
              <xm:sqref>M15</xm:sqref>
            </x14:sparkline>
            <x14:sparkline>
              <xm:f>'Ratio Analysis '!C16:L16</xm:f>
              <xm:sqref>M16</xm:sqref>
            </x14:sparkline>
            <x14:sparkline>
              <xm:f>'Ratio Analysis '!C17:L17</xm:f>
              <xm:sqref>M17</xm:sqref>
            </x14:sparkline>
            <x14:sparkline>
              <xm:f>'Ratio Analysis '!C18:L18</xm:f>
              <xm:sqref>M18</xm:sqref>
            </x14:sparkline>
            <x14:sparkline>
              <xm:f>'Ratio Analysis '!C19:L19</xm:f>
              <xm:sqref>M19</xm:sqref>
            </x14:sparkline>
            <x14:sparkline>
              <xm:f>'Ratio Analysis '!C20:L20</xm:f>
              <xm:sqref>M20</xm:sqref>
            </x14:sparkline>
            <x14:sparkline>
              <xm:f>'Ratio Analysis '!C21:L21</xm:f>
              <xm:sqref>M21</xm:sqref>
            </x14:sparkline>
            <x14:sparkline>
              <xm:f>'Ratio Analysis '!C22:L22</xm:f>
              <xm:sqref>M22</xm:sqref>
            </x14:sparkline>
            <x14:sparkline>
              <xm:f>'Ratio Analysis '!C23:L23</xm:f>
              <xm:sqref>M23</xm:sqref>
            </x14:sparkline>
            <x14:sparkline>
              <xm:f>'Ratio Analysis '!C24:L24</xm:f>
              <xm:sqref>M24</xm:sqref>
            </x14:sparkline>
            <x14:sparkline>
              <xm:f>'Ratio Analysis '!C25:L25</xm:f>
              <xm:sqref>M25</xm:sqref>
            </x14:sparkline>
            <x14:sparkline>
              <xm:f>'Ratio Analysis '!C26:L26</xm:f>
              <xm:sqref>M26</xm:sqref>
            </x14:sparkline>
            <x14:sparkline>
              <xm:f>'Ratio Analysis '!C27:L27</xm:f>
              <xm:sqref>M27</xm:sqref>
            </x14:sparkline>
            <x14:sparkline>
              <xm:f>'Ratio Analysis '!C28:L28</xm:f>
              <xm:sqref>M28</xm:sqref>
            </x14:sparkline>
            <x14:sparkline>
              <xm:f>'Ratio Analysis '!C29:L29</xm:f>
              <xm:sqref>M29</xm:sqref>
            </x14:sparkline>
            <x14:sparkline>
              <xm:f>'Ratio Analysis '!C30:L30</xm:f>
              <xm:sqref>M30</xm:sqref>
            </x14:sparkline>
            <x14:sparkline>
              <xm:f>'Ratio Analysis '!C31:L31</xm:f>
              <xm:sqref>M31</xm:sqref>
            </x14:sparkline>
            <x14:sparkline>
              <xm:f>'Ratio Analysis '!C32:L32</xm:f>
              <xm:sqref>M32</xm:sqref>
            </x14:sparkline>
            <x14:sparkline>
              <xm:f>'Ratio Analysis '!C33:L33</xm:f>
              <xm:sqref>M33</xm:sqref>
            </x14:sparkline>
            <x14:sparkline>
              <xm:f>'Ratio Analysis '!C34:L34</xm:f>
              <xm:sqref>M34</xm:sqref>
            </x14:sparkline>
            <x14:sparkline>
              <xm:f>'Ratio Analysis '!C35:L35</xm:f>
              <xm:sqref>M35</xm:sqref>
            </x14:sparkline>
            <x14:sparkline>
              <xm:f>'Ratio Analysis '!C36:L36</xm:f>
              <xm:sqref>M36</xm:sqref>
            </x14:sparkline>
            <x14:sparkline>
              <xm:f>'Ratio Analysis '!C37:L37</xm:f>
              <xm:sqref>M37</xm:sqref>
            </x14:sparkline>
            <x14:sparkline>
              <xm:f>'Ratio Analysis '!C38:L38</xm:f>
              <xm:sqref>M38</xm:sqref>
            </x14:sparkline>
            <x14:sparkline>
              <xm:f>'Ratio Analysis '!C39:L39</xm:f>
              <xm:sqref>M39</xm:sqref>
            </x14:sparkline>
            <x14:sparkline>
              <xm:f>'Ratio Analysis '!C40:L40</xm:f>
              <xm:sqref>M40</xm:sqref>
            </x14:sparkline>
            <x14:sparkline>
              <xm:f>'Ratio Analysis '!C41:L41</xm:f>
              <xm:sqref>M41</xm:sqref>
            </x14:sparkline>
          </x14:sparklines>
        </x14:sparklineGroup>
        <x14:sparklineGroup displayEmptyCellsAs="gap" markers="1" xr2:uid="{B46FFBEF-8629-4F0F-8CD7-4571BFB93D9E}">
          <x14:colorSeries theme="7" tint="0.59999389629810485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 '!D5:L5</xm:f>
              <xm:sqref>M5</xm:sqref>
            </x14:sparkline>
            <x14:sparkline>
              <xm:f>'Ratio Analysis '!D6:L6</xm:f>
              <xm:sqref>M6</xm:sqref>
            </x14:sparkline>
            <x14:sparkline>
              <xm:f>'Ratio Analysis '!D7:L7</xm:f>
              <xm:sqref>M7</xm:sqref>
            </x14:sparkline>
            <x14:sparkline>
              <xm:f>'Ratio Analysis '!D8:L8</xm:f>
              <xm:sqref>M8</xm:sqref>
            </x14:sparkline>
            <x14:sparkline>
              <xm:f>'Ratio Analysis '!D9:L9</xm:f>
              <xm:sqref>M9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B487-634C-4384-A2B4-D01CEF99CD8B}">
  <sheetPr>
    <tabColor theme="7" tint="-0.249977111117893"/>
  </sheetPr>
  <dimension ref="B4:O20"/>
  <sheetViews>
    <sheetView showGridLines="0" workbookViewId="0">
      <selection activeCell="Q8" sqref="Q8"/>
    </sheetView>
  </sheetViews>
  <sheetFormatPr defaultRowHeight="14.4" x14ac:dyDescent="0.3"/>
  <cols>
    <col min="1" max="1" width="1.88671875" customWidth="1"/>
    <col min="2" max="2" width="11.33203125" bestFit="1" customWidth="1"/>
    <col min="4" max="4" width="9.44140625" bestFit="1" customWidth="1"/>
    <col min="5" max="5" width="12.33203125" bestFit="1" customWidth="1"/>
    <col min="6" max="6" width="2.33203125" customWidth="1"/>
    <col min="9" max="9" width="9.44140625" bestFit="1" customWidth="1"/>
    <col min="10" max="10" width="12.33203125" bestFit="1" customWidth="1"/>
    <col min="11" max="11" width="2.33203125" customWidth="1"/>
  </cols>
  <sheetData>
    <row r="4" spans="2:15" x14ac:dyDescent="0.3">
      <c r="B4" s="72" t="str">
        <f>'Data Sheet'!$B$1&amp;" - " &amp;'Data Sheet'!$A$17&amp; " " &amp; "Forecasting"</f>
        <v>INFOSYS LTD - Sales Forecasting</v>
      </c>
      <c r="C4" s="72"/>
      <c r="D4" s="72"/>
      <c r="E4" s="72"/>
      <c r="G4" s="72" t="str">
        <f>'Data Sheet'!$B$1&amp;" - " &amp;'Historical FS'!B18&amp; " " &amp; "Forecasting"</f>
        <v>INFOSYS LTD - EBITDA Forecasting</v>
      </c>
      <c r="H4" s="72"/>
      <c r="I4" s="72"/>
      <c r="J4" s="72"/>
      <c r="L4" s="72" t="str">
        <f>'Data Sheet'!$B$1&amp;" - " &amp;'Data Sheet'!A30&amp; " " &amp; "Forecasting"</f>
        <v>INFOSYS LTD - Net profit Forecasting</v>
      </c>
      <c r="M4" s="72"/>
      <c r="N4" s="72"/>
      <c r="O4" s="72"/>
    </row>
    <row r="5" spans="2:15" x14ac:dyDescent="0.3">
      <c r="B5" s="26" t="s">
        <v>189</v>
      </c>
      <c r="C5" s="26" t="s">
        <v>94</v>
      </c>
      <c r="D5" s="26" t="s">
        <v>6</v>
      </c>
      <c r="E5" s="26" t="s">
        <v>157</v>
      </c>
      <c r="G5" s="26" t="s">
        <v>189</v>
      </c>
      <c r="H5" s="26" t="s">
        <v>94</v>
      </c>
      <c r="I5" s="26" t="s">
        <v>6</v>
      </c>
      <c r="J5" s="26" t="s">
        <v>157</v>
      </c>
      <c r="L5" s="26" t="s">
        <v>189</v>
      </c>
      <c r="M5" s="26" t="s">
        <v>94</v>
      </c>
      <c r="N5" s="26" t="s">
        <v>6</v>
      </c>
      <c r="O5" s="26" t="s">
        <v>157</v>
      </c>
    </row>
    <row r="6" spans="2:15" x14ac:dyDescent="0.3">
      <c r="B6">
        <v>1</v>
      </c>
      <c r="C6" s="73">
        <f>'Data Sheet'!$B$16</f>
        <v>42825</v>
      </c>
      <c r="D6" s="74">
        <f t="array" ref="D6:D15">TRANSPOSE('Data Sheet'!B17:K17)</f>
        <v>68484</v>
      </c>
      <c r="G6">
        <v>1</v>
      </c>
      <c r="H6" s="73">
        <f>'Data Sheet'!$B$16</f>
        <v>42825</v>
      </c>
      <c r="I6" s="74">
        <f t="array" ref="I6:I15">TRANSPOSE('Historical FS'!C18:L18)</f>
        <v>18604</v>
      </c>
      <c r="L6">
        <v>1</v>
      </c>
      <c r="M6" s="73">
        <f>'Data Sheet'!$B$16</f>
        <v>42825</v>
      </c>
      <c r="N6" s="74">
        <f t="array" ref="N6:N15">TRANSPOSE('Data Sheet'!B30:K30)</f>
        <v>14353</v>
      </c>
    </row>
    <row r="7" spans="2:15" x14ac:dyDescent="0.3">
      <c r="B7">
        <f>B6+1</f>
        <v>2</v>
      </c>
      <c r="C7" s="73">
        <f>C6+365</f>
        <v>43190</v>
      </c>
      <c r="D7" s="74">
        <v>70522</v>
      </c>
      <c r="E7" s="78">
        <f>D7/D6-1</f>
        <v>2.9758775772443125E-2</v>
      </c>
      <c r="G7">
        <f>G6+1</f>
        <v>2</v>
      </c>
      <c r="H7" s="73">
        <f>H6+365</f>
        <v>43190</v>
      </c>
      <c r="I7" s="74">
        <v>18822</v>
      </c>
      <c r="J7" s="78">
        <f>I7/I6-1</f>
        <v>1.1717910126854525E-2</v>
      </c>
      <c r="L7">
        <f>L6+1</f>
        <v>2</v>
      </c>
      <c r="M7" s="73">
        <f>M6+365</f>
        <v>43190</v>
      </c>
      <c r="N7" s="74">
        <v>16029</v>
      </c>
      <c r="O7" s="78">
        <f>N7/N6-1</f>
        <v>0.11677001323765057</v>
      </c>
    </row>
    <row r="8" spans="2:15" x14ac:dyDescent="0.3">
      <c r="B8">
        <f>B7+1</f>
        <v>3</v>
      </c>
      <c r="C8" s="73">
        <f t="shared" ref="C8:C20" si="0">C7+365</f>
        <v>43555</v>
      </c>
      <c r="D8" s="74">
        <v>82675</v>
      </c>
      <c r="E8" s="78">
        <f t="shared" ref="E8:E20" si="1">D8/D7-1</f>
        <v>0.17232920223476356</v>
      </c>
      <c r="G8">
        <f>G7+1</f>
        <v>3</v>
      </c>
      <c r="H8" s="73">
        <f t="shared" ref="H8:H20" si="2">H7+365</f>
        <v>43555</v>
      </c>
      <c r="I8" s="74">
        <v>20170</v>
      </c>
      <c r="J8" s="78">
        <f t="shared" ref="J8:J20" si="3">I8/I7-1</f>
        <v>7.1618318988417862E-2</v>
      </c>
      <c r="L8">
        <f>L7+1</f>
        <v>3</v>
      </c>
      <c r="M8" s="73">
        <f t="shared" ref="M8:M20" si="4">M7+365</f>
        <v>43555</v>
      </c>
      <c r="N8" s="74">
        <v>15404</v>
      </c>
      <c r="O8" s="78">
        <f t="shared" ref="O8:O20" si="5">N8/N7-1</f>
        <v>-3.899182731299522E-2</v>
      </c>
    </row>
    <row r="9" spans="2:15" x14ac:dyDescent="0.3">
      <c r="B9">
        <f>B8+1</f>
        <v>4</v>
      </c>
      <c r="C9" s="73">
        <f t="shared" si="0"/>
        <v>43920</v>
      </c>
      <c r="D9" s="74">
        <v>90791</v>
      </c>
      <c r="E9" s="78">
        <f t="shared" si="1"/>
        <v>9.8167523435137571E-2</v>
      </c>
      <c r="G9">
        <f>G8+1</f>
        <v>4</v>
      </c>
      <c r="H9" s="73">
        <f t="shared" si="2"/>
        <v>43920</v>
      </c>
      <c r="I9" s="74">
        <v>22267</v>
      </c>
      <c r="J9" s="78">
        <f t="shared" si="3"/>
        <v>0.10396628656420437</v>
      </c>
      <c r="L9">
        <f>L8+1</f>
        <v>4</v>
      </c>
      <c r="M9" s="73">
        <f t="shared" si="4"/>
        <v>43920</v>
      </c>
      <c r="N9" s="74">
        <v>16594</v>
      </c>
      <c r="O9" s="78">
        <f t="shared" si="5"/>
        <v>7.7252661646325604E-2</v>
      </c>
    </row>
    <row r="10" spans="2:15" x14ac:dyDescent="0.3">
      <c r="B10">
        <f t="shared" ref="B10:B20" si="6">B9+1</f>
        <v>5</v>
      </c>
      <c r="C10" s="73">
        <f t="shared" si="0"/>
        <v>44285</v>
      </c>
      <c r="D10" s="74">
        <v>100472</v>
      </c>
      <c r="E10" s="78">
        <f t="shared" si="1"/>
        <v>0.10662951173574475</v>
      </c>
      <c r="G10">
        <f t="shared" ref="G10:G20" si="7">G9+1</f>
        <v>5</v>
      </c>
      <c r="H10" s="73">
        <f t="shared" si="2"/>
        <v>44285</v>
      </c>
      <c r="I10" s="74">
        <v>27889</v>
      </c>
      <c r="J10" s="78">
        <f t="shared" si="3"/>
        <v>0.25248125028068436</v>
      </c>
      <c r="L10">
        <f t="shared" ref="L10:L20" si="8">L9+1</f>
        <v>5</v>
      </c>
      <c r="M10" s="73">
        <f t="shared" si="4"/>
        <v>44285</v>
      </c>
      <c r="N10" s="74">
        <v>19351</v>
      </c>
      <c r="O10" s="78">
        <f t="shared" si="5"/>
        <v>0.16614438953838739</v>
      </c>
    </row>
    <row r="11" spans="2:15" x14ac:dyDescent="0.3">
      <c r="B11">
        <f t="shared" si="6"/>
        <v>6</v>
      </c>
      <c r="C11" s="73">
        <f t="shared" si="0"/>
        <v>44650</v>
      </c>
      <c r="D11" s="74">
        <v>121641</v>
      </c>
      <c r="E11" s="78">
        <f t="shared" si="1"/>
        <v>0.21069551715900947</v>
      </c>
      <c r="G11">
        <f t="shared" si="7"/>
        <v>6</v>
      </c>
      <c r="H11" s="73">
        <f t="shared" si="2"/>
        <v>44650</v>
      </c>
      <c r="I11" s="74">
        <v>31491</v>
      </c>
      <c r="J11" s="78">
        <f t="shared" si="3"/>
        <v>0.12915486392484499</v>
      </c>
      <c r="L11">
        <f t="shared" si="8"/>
        <v>6</v>
      </c>
      <c r="M11" s="73">
        <f t="shared" si="4"/>
        <v>44650</v>
      </c>
      <c r="N11" s="74">
        <v>22110</v>
      </c>
      <c r="O11" s="78">
        <f t="shared" si="5"/>
        <v>0.14257661102785391</v>
      </c>
    </row>
    <row r="12" spans="2:15" x14ac:dyDescent="0.3">
      <c r="B12">
        <f t="shared" si="6"/>
        <v>7</v>
      </c>
      <c r="C12" s="73">
        <f t="shared" si="0"/>
        <v>45015</v>
      </c>
      <c r="D12" s="74">
        <v>146767</v>
      </c>
      <c r="E12" s="78">
        <f t="shared" si="1"/>
        <v>0.20655864387829759</v>
      </c>
      <c r="G12">
        <f t="shared" si="7"/>
        <v>7</v>
      </c>
      <c r="H12" s="73">
        <f t="shared" si="2"/>
        <v>45015</v>
      </c>
      <c r="I12" s="74">
        <v>35130</v>
      </c>
      <c r="J12" s="78">
        <f t="shared" si="3"/>
        <v>0.1155568257597408</v>
      </c>
      <c r="L12">
        <f t="shared" si="8"/>
        <v>7</v>
      </c>
      <c r="M12" s="73">
        <f t="shared" si="4"/>
        <v>45015</v>
      </c>
      <c r="N12" s="74">
        <v>24095</v>
      </c>
      <c r="O12" s="78">
        <f t="shared" si="5"/>
        <v>8.9778380823156922E-2</v>
      </c>
    </row>
    <row r="13" spans="2:15" x14ac:dyDescent="0.3">
      <c r="B13">
        <f t="shared" si="6"/>
        <v>8</v>
      </c>
      <c r="C13" s="73">
        <f t="shared" si="0"/>
        <v>45380</v>
      </c>
      <c r="D13" s="74">
        <v>153670</v>
      </c>
      <c r="E13" s="78">
        <f t="shared" si="1"/>
        <v>4.7033733741236095E-2</v>
      </c>
      <c r="G13">
        <f t="shared" si="7"/>
        <v>8</v>
      </c>
      <c r="H13" s="73">
        <f t="shared" si="2"/>
        <v>45380</v>
      </c>
      <c r="I13" s="74">
        <v>36425</v>
      </c>
      <c r="J13" s="78">
        <f t="shared" si="3"/>
        <v>3.6863079988613823E-2</v>
      </c>
      <c r="L13">
        <f t="shared" si="8"/>
        <v>8</v>
      </c>
      <c r="M13" s="73">
        <f t="shared" si="4"/>
        <v>45380</v>
      </c>
      <c r="N13" s="74">
        <v>26233</v>
      </c>
      <c r="O13" s="78">
        <f t="shared" si="5"/>
        <v>8.8732102095870458E-2</v>
      </c>
    </row>
    <row r="14" spans="2:15" x14ac:dyDescent="0.3">
      <c r="B14">
        <f t="shared" si="6"/>
        <v>9</v>
      </c>
      <c r="C14" s="73">
        <f t="shared" si="0"/>
        <v>45745</v>
      </c>
      <c r="D14" s="74">
        <v>162990</v>
      </c>
      <c r="E14" s="78">
        <f t="shared" si="1"/>
        <v>6.0649443612936782E-2</v>
      </c>
      <c r="G14">
        <f t="shared" si="7"/>
        <v>9</v>
      </c>
      <c r="H14" s="73">
        <f t="shared" si="2"/>
        <v>45745</v>
      </c>
      <c r="I14" s="74">
        <v>39236</v>
      </c>
      <c r="J14" s="78">
        <f t="shared" si="3"/>
        <v>7.7172271791352109E-2</v>
      </c>
      <c r="L14">
        <f t="shared" si="8"/>
        <v>9</v>
      </c>
      <c r="M14" s="73">
        <f t="shared" si="4"/>
        <v>45745</v>
      </c>
      <c r="N14" s="74">
        <v>26713</v>
      </c>
      <c r="O14" s="78">
        <f t="shared" si="5"/>
        <v>1.8297564136774191E-2</v>
      </c>
    </row>
    <row r="15" spans="2:15" x14ac:dyDescent="0.3">
      <c r="B15">
        <f t="shared" si="6"/>
        <v>10</v>
      </c>
      <c r="C15" s="73">
        <f t="shared" si="0"/>
        <v>46110</v>
      </c>
      <c r="D15" s="74">
        <v>178650</v>
      </c>
      <c r="E15" s="78">
        <f t="shared" si="1"/>
        <v>9.6079514080618544E-2</v>
      </c>
      <c r="G15">
        <f t="shared" si="7"/>
        <v>10</v>
      </c>
      <c r="H15" s="73">
        <f t="shared" si="2"/>
        <v>46110</v>
      </c>
      <c r="I15" s="74">
        <v>42280</v>
      </c>
      <c r="J15" s="78">
        <f t="shared" si="3"/>
        <v>7.758181262106234E-2</v>
      </c>
      <c r="L15">
        <f t="shared" si="8"/>
        <v>10</v>
      </c>
      <c r="M15" s="73">
        <f t="shared" si="4"/>
        <v>46110</v>
      </c>
      <c r="N15" s="74">
        <v>29440</v>
      </c>
      <c r="O15" s="78">
        <f t="shared" si="5"/>
        <v>0.10208512709167827</v>
      </c>
    </row>
    <row r="16" spans="2:15" x14ac:dyDescent="0.3">
      <c r="B16" s="75">
        <f t="shared" si="6"/>
        <v>11</v>
      </c>
      <c r="C16" s="76">
        <f t="shared" si="0"/>
        <v>46475</v>
      </c>
      <c r="D16" s="77">
        <f>FORECAST(B16,$D$6:$D$15,$B$6:$B$15)</f>
        <v>190427.6</v>
      </c>
      <c r="E16" s="79">
        <f t="shared" si="1"/>
        <v>6.592555275678702E-2</v>
      </c>
      <c r="G16" s="75">
        <f t="shared" si="7"/>
        <v>11</v>
      </c>
      <c r="H16" s="76">
        <f t="shared" si="2"/>
        <v>46475</v>
      </c>
      <c r="I16" s="77">
        <f>FORECAST(G16,$I$6:$I$15,$G$6:$G$15)</f>
        <v>45213</v>
      </c>
      <c r="J16" s="79">
        <f t="shared" si="3"/>
        <v>6.9370860927152389E-2</v>
      </c>
      <c r="L16" s="75">
        <f t="shared" si="8"/>
        <v>11</v>
      </c>
      <c r="M16" s="76">
        <f t="shared" si="4"/>
        <v>46475</v>
      </c>
      <c r="N16" s="77">
        <f>FORECAST(L16,$N$6:$N$15,$L$6:$L$15)</f>
        <v>30698.133333333335</v>
      </c>
      <c r="O16" s="79">
        <f t="shared" si="5"/>
        <v>4.2735507246376869E-2</v>
      </c>
    </row>
    <row r="17" spans="2:15" x14ac:dyDescent="0.3">
      <c r="B17" s="75">
        <f>B16+1</f>
        <v>12</v>
      </c>
      <c r="C17" s="76">
        <f t="shared" si="0"/>
        <v>46840</v>
      </c>
      <c r="D17" s="77">
        <f t="shared" ref="D17:D20" si="9">FORECAST(B17,$D$6:$D$15,$B$6:$B$15)</f>
        <v>203656.94545454544</v>
      </c>
      <c r="E17" s="79">
        <f t="shared" si="1"/>
        <v>6.947178588894376E-2</v>
      </c>
      <c r="G17" s="75">
        <f>G16+1</f>
        <v>12</v>
      </c>
      <c r="H17" s="76">
        <f t="shared" si="2"/>
        <v>46840</v>
      </c>
      <c r="I17" s="77">
        <f t="shared" ref="I17:I20" si="10">FORECAST(G17,$I$6:$I$15,$G$6:$G$15)</f>
        <v>48118.745454545453</v>
      </c>
      <c r="J17" s="79">
        <f t="shared" si="3"/>
        <v>6.4267919725420786E-2</v>
      </c>
      <c r="L17" s="75">
        <f>L16+1</f>
        <v>12</v>
      </c>
      <c r="M17" s="76">
        <f t="shared" si="4"/>
        <v>46840</v>
      </c>
      <c r="N17" s="77">
        <f t="shared" ref="N17:N20" si="11">FORECAST(L17,$N$6:$N$15,$L$6:$L$15)</f>
        <v>32455.575757575756</v>
      </c>
      <c r="O17" s="79">
        <f t="shared" si="5"/>
        <v>5.7249162519406926E-2</v>
      </c>
    </row>
    <row r="18" spans="2:15" x14ac:dyDescent="0.3">
      <c r="B18" s="75">
        <f t="shared" si="6"/>
        <v>13</v>
      </c>
      <c r="C18" s="76">
        <f t="shared" si="0"/>
        <v>47205</v>
      </c>
      <c r="D18" s="77">
        <f t="shared" si="9"/>
        <v>216886.29090909089</v>
      </c>
      <c r="E18" s="79">
        <f t="shared" si="1"/>
        <v>6.4958970218367273E-2</v>
      </c>
      <c r="G18" s="75">
        <f t="shared" ref="G18:G20" si="12">G17+1</f>
        <v>13</v>
      </c>
      <c r="H18" s="76">
        <f t="shared" si="2"/>
        <v>47205</v>
      </c>
      <c r="I18" s="77">
        <f t="shared" si="10"/>
        <v>51024.490909090906</v>
      </c>
      <c r="J18" s="79">
        <f t="shared" si="3"/>
        <v>6.0386974496047907E-2</v>
      </c>
      <c r="L18" s="75">
        <f t="shared" ref="L18:L20" si="13">L17+1</f>
        <v>13</v>
      </c>
      <c r="M18" s="76">
        <f t="shared" si="4"/>
        <v>47205</v>
      </c>
      <c r="N18" s="77">
        <f t="shared" si="11"/>
        <v>34213.018181818181</v>
      </c>
      <c r="O18" s="79">
        <f t="shared" si="5"/>
        <v>5.414916800026881E-2</v>
      </c>
    </row>
    <row r="19" spans="2:15" x14ac:dyDescent="0.3">
      <c r="B19" s="75">
        <f t="shared" si="6"/>
        <v>14</v>
      </c>
      <c r="C19" s="76">
        <f t="shared" si="0"/>
        <v>47570</v>
      </c>
      <c r="D19" s="77">
        <f t="shared" si="9"/>
        <v>230115.63636363635</v>
      </c>
      <c r="E19" s="79">
        <f t="shared" si="1"/>
        <v>6.099668816822823E-2</v>
      </c>
      <c r="G19" s="75">
        <f t="shared" si="12"/>
        <v>14</v>
      </c>
      <c r="H19" s="76">
        <f t="shared" si="2"/>
        <v>47570</v>
      </c>
      <c r="I19" s="77">
        <f t="shared" si="10"/>
        <v>53930.236363636366</v>
      </c>
      <c r="J19" s="79">
        <f t="shared" si="3"/>
        <v>5.6948053822282185E-2</v>
      </c>
      <c r="L19" s="75">
        <f t="shared" si="13"/>
        <v>14</v>
      </c>
      <c r="M19" s="76">
        <f t="shared" si="4"/>
        <v>47570</v>
      </c>
      <c r="N19" s="77">
        <f t="shared" si="11"/>
        <v>35970.460606060602</v>
      </c>
      <c r="O19" s="79">
        <f t="shared" si="5"/>
        <v>5.1367652362701577E-2</v>
      </c>
    </row>
    <row r="20" spans="2:15" x14ac:dyDescent="0.3">
      <c r="B20" s="75">
        <f t="shared" si="6"/>
        <v>15</v>
      </c>
      <c r="C20" s="76">
        <f t="shared" si="0"/>
        <v>47935</v>
      </c>
      <c r="D20" s="77">
        <f t="shared" si="9"/>
        <v>243344.98181818181</v>
      </c>
      <c r="E20" s="79">
        <f t="shared" si="1"/>
        <v>5.748998922280979E-2</v>
      </c>
      <c r="G20" s="75">
        <f t="shared" si="12"/>
        <v>15</v>
      </c>
      <c r="H20" s="76">
        <f t="shared" si="2"/>
        <v>47935</v>
      </c>
      <c r="I20" s="77">
        <f t="shared" si="10"/>
        <v>56835.981818181819</v>
      </c>
      <c r="J20" s="79">
        <f t="shared" si="3"/>
        <v>5.3879709240523876E-2</v>
      </c>
      <c r="L20" s="75">
        <f t="shared" si="13"/>
        <v>15</v>
      </c>
      <c r="M20" s="76">
        <f t="shared" si="4"/>
        <v>47935</v>
      </c>
      <c r="N20" s="77">
        <f t="shared" si="11"/>
        <v>37727.90303030303</v>
      </c>
      <c r="O20" s="79">
        <f t="shared" si="5"/>
        <v>4.8857934945273351E-2</v>
      </c>
    </row>
  </sheetData>
  <mergeCells count="3">
    <mergeCell ref="B4:E4"/>
    <mergeCell ref="G4:J4"/>
    <mergeCell ref="L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E9B1-D125-4414-979C-941A8076D675}">
  <sheetPr>
    <tabColor theme="7" tint="-0.249977111117893"/>
  </sheetPr>
  <dimension ref="B2:P78"/>
  <sheetViews>
    <sheetView topLeftCell="A4" zoomScale="106" workbookViewId="0">
      <selection activeCell="C81" sqref="C81"/>
    </sheetView>
  </sheetViews>
  <sheetFormatPr defaultRowHeight="14.4" x14ac:dyDescent="0.3"/>
  <cols>
    <col min="2" max="2" width="25.77734375" bestFit="1" customWidth="1"/>
  </cols>
  <sheetData>
    <row r="2" spans="2:16" x14ac:dyDescent="0.3">
      <c r="C2" s="25">
        <v>42064</v>
      </c>
      <c r="D2" s="25">
        <v>42430</v>
      </c>
      <c r="E2" s="43">
        <v>42795</v>
      </c>
      <c r="F2" s="25">
        <v>43160</v>
      </c>
      <c r="G2" s="25">
        <v>43525</v>
      </c>
      <c r="H2" s="25">
        <v>43891</v>
      </c>
      <c r="I2" s="25">
        <v>44256</v>
      </c>
      <c r="J2" s="25">
        <v>44621</v>
      </c>
      <c r="K2" s="25">
        <v>44986</v>
      </c>
      <c r="L2" s="25">
        <v>45352</v>
      </c>
      <c r="M2" s="25">
        <v>45717</v>
      </c>
      <c r="N2" s="25">
        <v>46082</v>
      </c>
    </row>
    <row r="3" spans="2:16" x14ac:dyDescent="0.3">
      <c r="B3" t="s">
        <v>148</v>
      </c>
      <c r="C3" s="41">
        <v>8353</v>
      </c>
      <c r="D3" s="41">
        <v>10028</v>
      </c>
      <c r="E3" s="41">
        <v>11531</v>
      </c>
      <c r="F3" s="41">
        <v>13218</v>
      </c>
      <c r="G3" s="41">
        <v>14841</v>
      </c>
      <c r="H3" s="41">
        <v>17003</v>
      </c>
      <c r="I3" s="41">
        <v>23224</v>
      </c>
      <c r="J3" s="41">
        <v>23885</v>
      </c>
      <c r="K3" s="41">
        <v>22467</v>
      </c>
      <c r="L3" s="41">
        <v>25210</v>
      </c>
      <c r="M3" s="41">
        <v>35694</v>
      </c>
      <c r="N3" s="41">
        <v>33986</v>
      </c>
    </row>
    <row r="4" spans="2:16" x14ac:dyDescent="0.3">
      <c r="B4" t="s">
        <v>129</v>
      </c>
      <c r="C4" s="41">
        <v>15946</v>
      </c>
      <c r="D4" s="41">
        <v>17839</v>
      </c>
      <c r="E4" s="41">
        <v>19340</v>
      </c>
      <c r="F4" s="41">
        <v>19963</v>
      </c>
      <c r="G4" s="41">
        <v>22126</v>
      </c>
      <c r="H4" s="41">
        <v>23920</v>
      </c>
      <c r="I4" s="41">
        <v>28845</v>
      </c>
      <c r="J4" s="41">
        <v>32921</v>
      </c>
      <c r="K4" s="41">
        <v>37605</v>
      </c>
      <c r="L4" s="41">
        <v>39523</v>
      </c>
      <c r="M4" s="41">
        <v>41591</v>
      </c>
      <c r="N4" s="41">
        <v>45273</v>
      </c>
    </row>
    <row r="5" spans="2:16" x14ac:dyDescent="0.3">
      <c r="B5" t="s">
        <v>78</v>
      </c>
      <c r="C5" s="41">
        <v>-1475</v>
      </c>
      <c r="D5" s="41">
        <v>-1654</v>
      </c>
      <c r="E5" s="41">
        <v>-1743</v>
      </c>
      <c r="F5" s="41">
        <v>-1523</v>
      </c>
      <c r="G5" s="41">
        <v>-2881</v>
      </c>
      <c r="H5" s="41">
        <v>-3861</v>
      </c>
      <c r="I5" s="41">
        <v>-1835</v>
      </c>
      <c r="J5" s="41">
        <v>-7937</v>
      </c>
      <c r="K5" s="41">
        <v>-7076</v>
      </c>
      <c r="L5" s="41">
        <v>-2667</v>
      </c>
      <c r="M5" s="41">
        <v>-1769</v>
      </c>
      <c r="N5" s="41">
        <v>-5177</v>
      </c>
    </row>
    <row r="6" spans="2:16" x14ac:dyDescent="0.3">
      <c r="B6" t="s">
        <v>130</v>
      </c>
      <c r="C6">
        <v>0</v>
      </c>
      <c r="D6">
        <v>242</v>
      </c>
      <c r="E6">
        <v>-19</v>
      </c>
      <c r="F6">
        <v>328</v>
      </c>
      <c r="G6">
        <v>916</v>
      </c>
      <c r="H6">
        <v>-373</v>
      </c>
      <c r="I6">
        <v>-245</v>
      </c>
      <c r="J6" s="41">
        <v>1489</v>
      </c>
      <c r="K6">
        <v>-279</v>
      </c>
      <c r="L6">
        <v>91</v>
      </c>
      <c r="M6">
        <v>176</v>
      </c>
      <c r="N6">
        <v>-26</v>
      </c>
      <c r="P6" s="41">
        <f>SUM(E4:E10)</f>
        <v>9375</v>
      </c>
    </row>
    <row r="7" spans="2:16" x14ac:dyDescent="0.3">
      <c r="B7" t="s">
        <v>131</v>
      </c>
      <c r="C7">
        <v>-221</v>
      </c>
      <c r="D7" s="41">
        <v>-1134</v>
      </c>
      <c r="E7">
        <v>0</v>
      </c>
      <c r="F7">
        <v>0</v>
      </c>
      <c r="G7">
        <v>0</v>
      </c>
      <c r="H7">
        <v>0</v>
      </c>
      <c r="I7">
        <v>-534</v>
      </c>
      <c r="J7" s="41">
        <v>-1914</v>
      </c>
      <c r="K7" s="41">
        <v>-3108</v>
      </c>
      <c r="L7" s="41">
        <v>-1172</v>
      </c>
      <c r="M7" s="41">
        <v>-1024</v>
      </c>
      <c r="N7" s="41">
        <v>-2645</v>
      </c>
    </row>
    <row r="8" spans="2:16" x14ac:dyDescent="0.3">
      <c r="B8" t="s">
        <v>132</v>
      </c>
      <c r="C8">
        <v>854</v>
      </c>
      <c r="D8">
        <v>600</v>
      </c>
      <c r="E8">
        <v>-394</v>
      </c>
      <c r="F8" s="41">
        <v>1279</v>
      </c>
      <c r="G8" s="41">
        <v>1512</v>
      </c>
      <c r="H8" s="41">
        <v>1867</v>
      </c>
      <c r="I8" s="41">
        <v>3382</v>
      </c>
      <c r="J8" s="41">
        <v>6938</v>
      </c>
      <c r="K8" s="41">
        <v>4119</v>
      </c>
      <c r="L8" s="41">
        <v>-1334</v>
      </c>
      <c r="M8" s="41">
        <v>2322</v>
      </c>
      <c r="N8" s="41">
        <v>5209</v>
      </c>
    </row>
    <row r="9" spans="2:16" x14ac:dyDescent="0.3">
      <c r="B9" t="s">
        <v>133</v>
      </c>
      <c r="C9">
        <v>-842</v>
      </c>
      <c r="D9" s="41">
        <v>-1946</v>
      </c>
      <c r="E9" s="41">
        <v>-2156</v>
      </c>
      <c r="F9">
        <v>84</v>
      </c>
      <c r="G9">
        <v>-453</v>
      </c>
      <c r="H9" s="41">
        <v>-2367</v>
      </c>
      <c r="I9">
        <v>768</v>
      </c>
      <c r="J9" s="41">
        <v>-1424</v>
      </c>
      <c r="K9" s="41">
        <v>-6344</v>
      </c>
      <c r="L9" s="41">
        <v>-5082</v>
      </c>
      <c r="M9">
        <v>-295</v>
      </c>
      <c r="N9" s="41">
        <v>-2639</v>
      </c>
    </row>
    <row r="10" spans="2:16" x14ac:dyDescent="0.3">
      <c r="B10" t="s">
        <v>134</v>
      </c>
      <c r="C10" s="41">
        <v>-6751</v>
      </c>
      <c r="D10" s="41">
        <v>-5865</v>
      </c>
      <c r="E10" s="41">
        <v>-5653</v>
      </c>
      <c r="F10" s="41">
        <v>-6829</v>
      </c>
      <c r="G10" s="41">
        <v>-6832</v>
      </c>
      <c r="H10" s="41">
        <v>-4550</v>
      </c>
      <c r="I10" s="41">
        <v>-6389</v>
      </c>
      <c r="J10" s="41">
        <v>-7612</v>
      </c>
      <c r="K10" s="41">
        <v>-8794</v>
      </c>
      <c r="L10" s="41">
        <v>-9231</v>
      </c>
      <c r="M10" s="41">
        <v>-5602</v>
      </c>
      <c r="N10" s="41">
        <v>-8648</v>
      </c>
    </row>
    <row r="11" spans="2:16" x14ac:dyDescent="0.3">
      <c r="B11" t="s">
        <v>149</v>
      </c>
      <c r="C11">
        <v>999</v>
      </c>
      <c r="D11">
        <v>-885</v>
      </c>
      <c r="E11" s="41">
        <v>-14664</v>
      </c>
      <c r="F11" s="41">
        <v>4533</v>
      </c>
      <c r="G11">
        <v>-632</v>
      </c>
      <c r="H11">
        <v>-331</v>
      </c>
      <c r="I11" s="41">
        <v>-7373</v>
      </c>
      <c r="J11" s="41">
        <v>-6485</v>
      </c>
      <c r="K11" s="41">
        <v>-1071</v>
      </c>
      <c r="L11" s="41">
        <v>-5093</v>
      </c>
      <c r="M11" s="41">
        <v>-1864</v>
      </c>
      <c r="N11" s="41">
        <v>3546</v>
      </c>
    </row>
    <row r="12" spans="2:16" x14ac:dyDescent="0.3">
      <c r="B12" t="s">
        <v>135</v>
      </c>
      <c r="C12" s="41">
        <v>-2247</v>
      </c>
      <c r="D12" s="41">
        <v>-2723</v>
      </c>
      <c r="E12" s="41">
        <v>-2760</v>
      </c>
      <c r="F12" s="41">
        <v>-1998</v>
      </c>
      <c r="G12" s="41">
        <v>-2445</v>
      </c>
      <c r="H12" s="41">
        <v>-3307</v>
      </c>
      <c r="I12" s="41">
        <v>-2107</v>
      </c>
      <c r="J12" s="41">
        <v>-2161</v>
      </c>
      <c r="K12" s="41">
        <v>-2579</v>
      </c>
      <c r="L12" s="41">
        <v>-2201</v>
      </c>
      <c r="M12" s="41">
        <v>-2237</v>
      </c>
      <c r="N12" s="41">
        <v>-2727</v>
      </c>
    </row>
    <row r="13" spans="2:16" x14ac:dyDescent="0.3">
      <c r="B13" t="s">
        <v>136</v>
      </c>
      <c r="C13" s="41">
        <v>-23923</v>
      </c>
      <c r="D13" s="41">
        <v>-24577</v>
      </c>
      <c r="E13" s="41">
        <v>-66410</v>
      </c>
      <c r="F13" s="41">
        <v>-69159</v>
      </c>
      <c r="G13" s="41">
        <v>-79410</v>
      </c>
      <c r="H13" s="41">
        <v>-37482</v>
      </c>
      <c r="I13" s="41">
        <v>-46738</v>
      </c>
      <c r="J13" s="41">
        <v>-59951</v>
      </c>
      <c r="K13" s="41">
        <v>-75800</v>
      </c>
      <c r="L13" s="41">
        <v>-78092</v>
      </c>
      <c r="M13" s="41">
        <v>-82742</v>
      </c>
      <c r="N13" s="41">
        <v>-82617</v>
      </c>
    </row>
    <row r="14" spans="2:16" x14ac:dyDescent="0.3">
      <c r="B14" t="s">
        <v>137</v>
      </c>
      <c r="C14" s="41">
        <v>25253</v>
      </c>
      <c r="D14" s="41">
        <v>24980</v>
      </c>
      <c r="E14" s="41">
        <v>52048</v>
      </c>
      <c r="F14" s="41">
        <v>74003</v>
      </c>
      <c r="G14" s="41">
        <v>78098</v>
      </c>
      <c r="H14" s="41">
        <v>38861</v>
      </c>
      <c r="I14" s="41">
        <v>40381</v>
      </c>
      <c r="J14" s="41">
        <v>57356</v>
      </c>
      <c r="K14" s="41">
        <v>76722</v>
      </c>
      <c r="L14" s="41">
        <v>72930</v>
      </c>
      <c r="M14" s="41">
        <v>84877</v>
      </c>
      <c r="N14" s="41">
        <v>89699</v>
      </c>
    </row>
    <row r="15" spans="2:16" x14ac:dyDescent="0.3">
      <c r="B15" t="s">
        <v>138</v>
      </c>
      <c r="C15" s="41">
        <v>2551</v>
      </c>
      <c r="D15" s="41">
        <v>2383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2:16" x14ac:dyDescent="0.3">
      <c r="B16" t="s">
        <v>139</v>
      </c>
      <c r="C16">
        <v>0</v>
      </c>
      <c r="D16">
        <v>0</v>
      </c>
      <c r="E16" s="41">
        <v>2753</v>
      </c>
      <c r="F16" s="41">
        <v>1768</v>
      </c>
      <c r="G16" s="41">
        <v>1557</v>
      </c>
      <c r="H16" s="41">
        <v>1929</v>
      </c>
      <c r="I16" s="41">
        <v>1418</v>
      </c>
      <c r="J16" s="41">
        <v>1898</v>
      </c>
      <c r="K16" s="41">
        <v>1525</v>
      </c>
      <c r="L16" s="41">
        <v>1768</v>
      </c>
      <c r="M16" s="41">
        <v>2040</v>
      </c>
      <c r="N16" s="41">
        <v>2713</v>
      </c>
    </row>
    <row r="17" spans="2:14" x14ac:dyDescent="0.3">
      <c r="B17" t="s">
        <v>140</v>
      </c>
      <c r="C17" s="41">
        <v>-1376</v>
      </c>
      <c r="D17">
        <v>-747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2:14" x14ac:dyDescent="0.3">
      <c r="B18" t="s">
        <v>141</v>
      </c>
      <c r="C18">
        <v>0</v>
      </c>
      <c r="D18">
        <v>-142</v>
      </c>
      <c r="E18">
        <v>-164</v>
      </c>
      <c r="F18">
        <v>-130</v>
      </c>
      <c r="G18">
        <v>-24</v>
      </c>
      <c r="H18">
        <v>-108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2:14" x14ac:dyDescent="0.3">
      <c r="B19" t="s">
        <v>142</v>
      </c>
      <c r="C19">
        <v>741</v>
      </c>
      <c r="D19">
        <v>-59</v>
      </c>
      <c r="E19">
        <v>-131</v>
      </c>
      <c r="F19">
        <v>49</v>
      </c>
      <c r="G19" s="41">
        <v>1592</v>
      </c>
      <c r="H19">
        <v>-224</v>
      </c>
      <c r="I19">
        <v>-327</v>
      </c>
      <c r="J19" s="41">
        <v>-3627</v>
      </c>
      <c r="K19">
        <v>-939</v>
      </c>
      <c r="L19">
        <v>502</v>
      </c>
      <c r="M19" s="41">
        <v>-3802</v>
      </c>
      <c r="N19" s="41">
        <v>-3522</v>
      </c>
    </row>
    <row r="20" spans="2:14" x14ac:dyDescent="0.3">
      <c r="B20" t="s">
        <v>150</v>
      </c>
      <c r="C20" s="41">
        <v>-4935</v>
      </c>
      <c r="D20" s="41">
        <v>-6813</v>
      </c>
      <c r="E20" s="41">
        <v>-6939</v>
      </c>
      <c r="F20" s="41">
        <v>-20505</v>
      </c>
      <c r="G20" s="41">
        <v>-14512</v>
      </c>
      <c r="H20" s="41">
        <v>-17591</v>
      </c>
      <c r="I20" s="41">
        <v>-9786</v>
      </c>
      <c r="J20" s="41">
        <v>-24642</v>
      </c>
      <c r="K20" s="41">
        <v>-26695</v>
      </c>
      <c r="L20" s="41">
        <v>-17504</v>
      </c>
      <c r="M20" s="41">
        <v>-24161</v>
      </c>
      <c r="N20" s="41">
        <v>-39786</v>
      </c>
    </row>
    <row r="21" spans="2:14" x14ac:dyDescent="0.3">
      <c r="B21" t="s">
        <v>143</v>
      </c>
      <c r="C21">
        <v>0</v>
      </c>
      <c r="D21">
        <v>0</v>
      </c>
      <c r="E21">
        <v>0</v>
      </c>
      <c r="F21">
        <v>5</v>
      </c>
      <c r="G21">
        <v>6</v>
      </c>
      <c r="H21">
        <v>6</v>
      </c>
      <c r="I21">
        <v>15</v>
      </c>
      <c r="J21">
        <v>21</v>
      </c>
      <c r="K21">
        <v>35</v>
      </c>
      <c r="L21">
        <v>5</v>
      </c>
      <c r="M21">
        <v>6</v>
      </c>
      <c r="N21">
        <v>2</v>
      </c>
    </row>
    <row r="22" spans="2:14" x14ac:dyDescent="0.3">
      <c r="B22" t="s">
        <v>144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-985</v>
      </c>
      <c r="N22">
        <v>0</v>
      </c>
    </row>
    <row r="23" spans="2:14" x14ac:dyDescent="0.3">
      <c r="B23" t="s">
        <v>145</v>
      </c>
      <c r="C23" s="41">
        <v>-4935</v>
      </c>
      <c r="D23" s="41">
        <v>-6813</v>
      </c>
      <c r="E23" s="41">
        <v>-6939</v>
      </c>
      <c r="F23" s="41">
        <v>-7464</v>
      </c>
      <c r="G23" s="41">
        <v>-13705</v>
      </c>
      <c r="H23" s="41">
        <v>-9548</v>
      </c>
      <c r="I23" s="41">
        <v>-9137</v>
      </c>
      <c r="J23" s="41">
        <v>-12731</v>
      </c>
      <c r="K23" s="41">
        <v>-13653</v>
      </c>
      <c r="L23" s="41">
        <v>-14731</v>
      </c>
      <c r="M23" s="41">
        <v>-20289</v>
      </c>
      <c r="N23" s="41">
        <v>-18656</v>
      </c>
    </row>
    <row r="24" spans="2:14" x14ac:dyDescent="0.3">
      <c r="B24" t="s">
        <v>146</v>
      </c>
      <c r="C24">
        <v>0</v>
      </c>
      <c r="D24">
        <v>0</v>
      </c>
      <c r="E24">
        <v>0</v>
      </c>
      <c r="F24">
        <v>0</v>
      </c>
      <c r="G24">
        <v>0</v>
      </c>
      <c r="H24">
        <v>-571</v>
      </c>
      <c r="I24">
        <v>-698</v>
      </c>
      <c r="J24">
        <v>-915</v>
      </c>
      <c r="K24" s="41">
        <v>-1231</v>
      </c>
      <c r="L24" s="41">
        <v>-2024</v>
      </c>
      <c r="M24" s="41">
        <v>-2355</v>
      </c>
      <c r="N24" s="41">
        <v>-2824</v>
      </c>
    </row>
    <row r="25" spans="2:14" x14ac:dyDescent="0.3">
      <c r="B25" t="s">
        <v>147</v>
      </c>
      <c r="C25">
        <v>0</v>
      </c>
      <c r="D25">
        <v>0</v>
      </c>
      <c r="E25">
        <v>0</v>
      </c>
      <c r="F25" s="41">
        <v>-13046</v>
      </c>
      <c r="G25">
        <v>-813</v>
      </c>
      <c r="H25" s="41">
        <v>-7478</v>
      </c>
      <c r="I25">
        <v>34</v>
      </c>
      <c r="J25" s="41">
        <v>-11017</v>
      </c>
      <c r="K25" s="41">
        <v>-11846</v>
      </c>
      <c r="L25">
        <v>-754</v>
      </c>
      <c r="M25">
        <v>-538</v>
      </c>
      <c r="N25" s="41">
        <v>-18308</v>
      </c>
    </row>
    <row r="26" spans="2:14" x14ac:dyDescent="0.3">
      <c r="B26" t="s">
        <v>35</v>
      </c>
      <c r="C26" s="41">
        <v>4417</v>
      </c>
      <c r="D26" s="41">
        <v>2330</v>
      </c>
      <c r="E26" s="41">
        <v>-10072</v>
      </c>
      <c r="F26" s="41">
        <v>-2754</v>
      </c>
      <c r="G26">
        <v>-303</v>
      </c>
      <c r="H26">
        <v>-919</v>
      </c>
      <c r="I26" s="41">
        <v>6065</v>
      </c>
      <c r="J26" s="41">
        <v>-7242</v>
      </c>
      <c r="K26" s="41">
        <v>-5299</v>
      </c>
      <c r="L26" s="41">
        <v>2613</v>
      </c>
      <c r="M26" s="41">
        <v>9669</v>
      </c>
      <c r="N26" s="41">
        <v>-2254</v>
      </c>
    </row>
    <row r="27" spans="2:14" x14ac:dyDescent="0.3"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</row>
    <row r="28" spans="2:14" x14ac:dyDescent="0.3"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3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5" spans="2:13" x14ac:dyDescent="0.3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53" spans="2:12" x14ac:dyDescent="0.3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</row>
    <row r="59" spans="2:12" x14ac:dyDescent="0.3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</row>
    <row r="64" spans="2:12" x14ac:dyDescent="0.3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6" spans="2:12" x14ac:dyDescent="0.3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</row>
    <row r="72" spans="2:12" x14ac:dyDescent="0.3">
      <c r="B72" s="48"/>
      <c r="C72" s="48">
        <f>IFERROR('Data Sheet'!B82,0)</f>
        <v>11531</v>
      </c>
      <c r="D72" s="48">
        <f>IFERROR('Data Sheet'!C82,0)</f>
        <v>13218</v>
      </c>
      <c r="E72" s="48">
        <f>IFERROR('Data Sheet'!D82,0)</f>
        <v>14841</v>
      </c>
      <c r="F72" s="48">
        <f>IFERROR('Data Sheet'!E82,0)</f>
        <v>17003</v>
      </c>
      <c r="G72" s="48">
        <f>IFERROR('Data Sheet'!F82,0)</f>
        <v>23224</v>
      </c>
      <c r="H72" s="48">
        <f>IFERROR('Data Sheet'!G82,0)</f>
        <v>23885</v>
      </c>
      <c r="I72" s="48">
        <f>IFERROR('Data Sheet'!H82,0)</f>
        <v>22467</v>
      </c>
      <c r="J72" s="48">
        <f>IFERROR('Data Sheet'!I82,0)</f>
        <v>25210</v>
      </c>
      <c r="K72" s="48">
        <f>IFERROR('Data Sheet'!J82,0)</f>
        <v>35694</v>
      </c>
      <c r="L72" s="48">
        <f>IFERROR('Data Sheet'!K82,0)</f>
        <v>33986</v>
      </c>
    </row>
    <row r="74" spans="2:12" x14ac:dyDescent="0.3">
      <c r="B74" s="48"/>
      <c r="C74" s="48">
        <f>IFERROR('Data Sheet'!B83,0)</f>
        <v>-14664</v>
      </c>
      <c r="D74" s="48">
        <f>IFERROR('Data Sheet'!C83,0)</f>
        <v>4533</v>
      </c>
      <c r="E74" s="48">
        <f>IFERROR('Data Sheet'!D83,0)</f>
        <v>-632</v>
      </c>
      <c r="F74" s="48">
        <f>IFERROR('Data Sheet'!E83,0)</f>
        <v>-331</v>
      </c>
      <c r="G74" s="48">
        <f>IFERROR('Data Sheet'!F83,0)</f>
        <v>-7373</v>
      </c>
      <c r="H74" s="48">
        <f>IFERROR('Data Sheet'!G83,0)</f>
        <v>-6485</v>
      </c>
      <c r="I74" s="48">
        <f>IFERROR('Data Sheet'!H83,0)</f>
        <v>-1071</v>
      </c>
      <c r="J74" s="48">
        <f>IFERROR('Data Sheet'!I83,0)</f>
        <v>-5093</v>
      </c>
      <c r="K74" s="48">
        <f>IFERROR('Data Sheet'!J83,0)</f>
        <v>-1864</v>
      </c>
      <c r="L74" s="48">
        <f>IFERROR('Data Sheet'!K83,0)</f>
        <v>3546</v>
      </c>
    </row>
    <row r="76" spans="2:12" x14ac:dyDescent="0.3">
      <c r="B76" s="48"/>
      <c r="C76" s="48">
        <f>IFERROR('Data Sheet'!B84,0)</f>
        <v>-6939</v>
      </c>
      <c r="D76" s="48">
        <f>IFERROR('Data Sheet'!C84,0)</f>
        <v>-20505</v>
      </c>
      <c r="E76" s="48">
        <f>IFERROR('Data Sheet'!D84,0)</f>
        <v>-14512</v>
      </c>
      <c r="F76" s="48">
        <f>IFERROR('Data Sheet'!E84,0)</f>
        <v>-17591</v>
      </c>
      <c r="G76" s="48">
        <f>IFERROR('Data Sheet'!F84,0)</f>
        <v>-9786</v>
      </c>
      <c r="H76" s="48">
        <f>IFERROR('Data Sheet'!G84,0)</f>
        <v>-24642</v>
      </c>
      <c r="I76" s="48">
        <f>IFERROR('Data Sheet'!H84,0)</f>
        <v>-26695</v>
      </c>
      <c r="J76" s="48">
        <f>IFERROR('Data Sheet'!I84,0)</f>
        <v>-17504</v>
      </c>
      <c r="K76" s="48">
        <f>IFERROR('Data Sheet'!J84,0)</f>
        <v>-24161</v>
      </c>
      <c r="L76" s="48">
        <f>IFERROR('Data Sheet'!K84,0)</f>
        <v>-39786</v>
      </c>
    </row>
    <row r="78" spans="2:12" x14ac:dyDescent="0.3"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1DF6-9B1D-4501-ACC5-9C3962C974B1}">
  <sheetPr>
    <tabColor theme="7" tint="-0.249977111117893"/>
  </sheetPr>
  <dimension ref="A1"/>
  <sheetViews>
    <sheetView tabSelected="1"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Customization</vt:lpstr>
      <vt:lpstr>Data Sheet</vt:lpstr>
      <vt:lpstr>Historical FS</vt:lpstr>
      <vt:lpstr>Ratio Analysis </vt:lpstr>
      <vt:lpstr>Forecasting</vt:lpstr>
      <vt:lpstr>Cash Flow Data</vt:lpstr>
      <vt:lpstr>Financial&gt;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khushi khushi</cp:lastModifiedBy>
  <cp:lastPrinted>2012-12-06T18:14:13Z</cp:lastPrinted>
  <dcterms:created xsi:type="dcterms:W3CDTF">2012-08-17T09:55:37Z</dcterms:created>
  <dcterms:modified xsi:type="dcterms:W3CDTF">2026-09-25T15:08:14Z</dcterms:modified>
</cp:coreProperties>
</file>